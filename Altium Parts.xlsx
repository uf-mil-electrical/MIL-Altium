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L-Altium\"/>
    </mc:Choice>
  </mc:AlternateContent>
  <xr:revisionPtr revIDLastSave="0" documentId="13_ncr:1_{D612E23B-E267-4084-936D-D6440F7D8B63}" xr6:coauthVersionLast="47" xr6:coauthVersionMax="47" xr10:uidLastSave="{00000000-0000-0000-0000-000000000000}"/>
  <bookViews>
    <workbookView xWindow="3040" yWindow="3040" windowWidth="19200" windowHeight="11170" firstSheet="1" activeTab="6" xr2:uid="{78817FF2-1CC3-4A74-8C91-2AFFF0842C3F}"/>
  </bookViews>
  <sheets>
    <sheet name="Welcome!" sheetId="15" r:id="rId1"/>
    <sheet name="Capacitors" sheetId="1" r:id="rId2"/>
    <sheet name="Connectors" sheetId="9" r:id="rId3"/>
    <sheet name="Crystals &amp; Oscillators" sheetId="7" r:id="rId4"/>
    <sheet name="Diodes" sheetId="13" r:id="rId5"/>
    <sheet name="ICs" sheetId="12" r:id="rId6"/>
    <sheet name="Devices" sheetId="16" r:id="rId7"/>
    <sheet name="Ferrite Beads" sheetId="10" r:id="rId8"/>
    <sheet name="Fuses" sheetId="8" r:id="rId9"/>
    <sheet name="Inductors" sheetId="3" r:id="rId10"/>
    <sheet name="LEDs" sheetId="5" r:id="rId11"/>
    <sheet name="Memory" sheetId="17" r:id="rId12"/>
    <sheet name="Misc Components" sheetId="14" r:id="rId13"/>
    <sheet name="Mounts, Pads, Vias" sheetId="20" r:id="rId14"/>
    <sheet name="MCUs" sheetId="6" r:id="rId15"/>
    <sheet name="Resistors" sheetId="2" r:id="rId16"/>
    <sheet name="Switches" sheetId="11" r:id="rId17"/>
    <sheet name="Test Points" sheetId="19" r:id="rId18"/>
    <sheet name="Transistors" sheetId="18" r:id="rId19"/>
    <sheet name="Voltage Regulators" sheetId="4" r:id="rId20"/>
  </sheets>
  <definedNames>
    <definedName name="_xlnm._FilterDatabase" localSheetId="1" hidden="1">'Capacitors'!$B$1:$I$8</definedName>
    <definedName name="_xlnm._FilterDatabase" localSheetId="0" hidden="1">'Welcome!'!$A$1:$A$15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2" l="1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26" i="2" l="1"/>
  <c r="C27" i="2"/>
  <c r="C2" i="2"/>
  <c r="C21" i="2"/>
  <c r="C10" i="2"/>
  <c r="C13" i="2"/>
  <c r="C24" i="2"/>
  <c r="C18" i="2"/>
  <c r="C16" i="2"/>
  <c r="C6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25" i="2"/>
  <c r="C29" i="2"/>
  <c r="C28" i="2"/>
  <c r="C30" i="2"/>
  <c r="C22" i="2"/>
  <c r="C9" i="2"/>
  <c r="C15" i="2"/>
  <c r="C3" i="2"/>
  <c r="C4" i="2"/>
  <c r="C5" i="2"/>
  <c r="C7" i="2"/>
  <c r="C8" i="2"/>
  <c r="C11" i="2"/>
  <c r="C12" i="2"/>
  <c r="C14" i="2"/>
  <c r="C17" i="2"/>
  <c r="C19" i="2"/>
  <c r="C20" i="2"/>
  <c r="C23" i="2"/>
</calcChain>
</file>

<file path=xl/sharedStrings.xml><?xml version="1.0" encoding="utf-8"?>
<sst xmlns="http://schemas.openxmlformats.org/spreadsheetml/2006/main" count="1540" uniqueCount="901">
  <si>
    <t>Capacitance</t>
  </si>
  <si>
    <t>Max Voltage</t>
  </si>
  <si>
    <t>Part Number</t>
  </si>
  <si>
    <t>Package</t>
  </si>
  <si>
    <t>Material</t>
  </si>
  <si>
    <t>0.1uF</t>
  </si>
  <si>
    <t>16V</t>
  </si>
  <si>
    <t>Manufacturer Part Number</t>
  </si>
  <si>
    <t>0603</t>
  </si>
  <si>
    <t>Ceramic</t>
  </si>
  <si>
    <t>10uF</t>
  </si>
  <si>
    <t>10V</t>
  </si>
  <si>
    <t>GCM1885C2A150FA16D</t>
  </si>
  <si>
    <t>15pF</t>
  </si>
  <si>
    <t>100V</t>
  </si>
  <si>
    <t>GRM188R61E475KE11D</t>
  </si>
  <si>
    <t>4.7uF</t>
  </si>
  <si>
    <t>25V</t>
  </si>
  <si>
    <t>Color</t>
  </si>
  <si>
    <t>Green</t>
  </si>
  <si>
    <t>Dome</t>
  </si>
  <si>
    <t>Diffused</t>
  </si>
  <si>
    <t>LG R971-KN-1-0-20-R18</t>
  </si>
  <si>
    <t>0805</t>
  </si>
  <si>
    <t>Yellow</t>
  </si>
  <si>
    <t>LY R976-PS-36-0-20-R18</t>
  </si>
  <si>
    <t>Red</t>
  </si>
  <si>
    <t>LS R976-NR-1-0-20-R18</t>
  </si>
  <si>
    <t>150080BS75000</t>
  </si>
  <si>
    <t>Blue</t>
  </si>
  <si>
    <t>Trip Current</t>
  </si>
  <si>
    <t>Description</t>
  </si>
  <si>
    <t>PTC RESET FUSE 15V 500MA 1812</t>
  </si>
  <si>
    <t>500mA</t>
  </si>
  <si>
    <t>15V</t>
  </si>
  <si>
    <t>CONN HEADER VERT 10POS 2.54MM</t>
  </si>
  <si>
    <t>BHR-10-VUA</t>
  </si>
  <si>
    <t>CONN HEADER VERT 3POS 2.54MM</t>
  </si>
  <si>
    <t>0705430037</t>
  </si>
  <si>
    <t>0705430036</t>
  </si>
  <si>
    <t>CONN HEADER VERT 2POS 2.54MM</t>
  </si>
  <si>
    <t>0705430005</t>
  </si>
  <si>
    <t>CONN HEADER VERT 6POS 2.54MM</t>
  </si>
  <si>
    <t>Resistance</t>
  </si>
  <si>
    <t>MH2029-300Y</t>
  </si>
  <si>
    <t>Inductance</t>
  </si>
  <si>
    <t>10uH</t>
  </si>
  <si>
    <t>10 µH Unshielded Multilayer Inductor 90 mA 900mOhm Max 0603 (1608 Metric)</t>
  </si>
  <si>
    <t>BSCY00160808100MCP</t>
  </si>
  <si>
    <t>Tolerance</t>
  </si>
  <si>
    <t>Wattage</t>
  </si>
  <si>
    <t>5.1k</t>
  </si>
  <si>
    <t>1%</t>
  </si>
  <si>
    <t>RC0603FR-075K1L</t>
  </si>
  <si>
    <t>RES 5.1K OHM 1% 1/10W 0603</t>
  </si>
  <si>
    <t>MCT06030C2709FP500</t>
  </si>
  <si>
    <t>RES 27 OHM 1% 1/10W 0603</t>
  </si>
  <si>
    <t>RMCF0603FT1K00</t>
  </si>
  <si>
    <t>RES 1K OHM 1% 1/10W 0603</t>
  </si>
  <si>
    <t>1k</t>
  </si>
  <si>
    <t>RR0816Q-330-D</t>
  </si>
  <si>
    <t>RES SMD 33 OHM 0.5% 1/16W 0603</t>
  </si>
  <si>
    <t>0.5%</t>
  </si>
  <si>
    <t>1/16W</t>
  </si>
  <si>
    <t>ERA-3ARB202V</t>
  </si>
  <si>
    <t>RES SMD 2K OHM 0.1% 1/10W 0603</t>
  </si>
  <si>
    <t>2k</t>
  </si>
  <si>
    <t>0.1%</t>
  </si>
  <si>
    <t>Circuit</t>
  </si>
  <si>
    <t>Max current</t>
  </si>
  <si>
    <t>Max voltage</t>
  </si>
  <si>
    <t>SWITCH TACTILE SPST-NO 0.05A 24V</t>
  </si>
  <si>
    <t>SPST</t>
  </si>
  <si>
    <t>1825910-6</t>
  </si>
  <si>
    <t>0.05A</t>
  </si>
  <si>
    <t>24V</t>
  </si>
  <si>
    <t>MC14504BDTR2G</t>
  </si>
  <si>
    <t>IC XLTR VL UNIDIR 16-TSSOP</t>
  </si>
  <si>
    <t>Function</t>
  </si>
  <si>
    <t>Level shifter</t>
  </si>
  <si>
    <t>Name</t>
  </si>
  <si>
    <t>RP2350B</t>
  </si>
  <si>
    <t>SC1510-A4</t>
  </si>
  <si>
    <t>Type</t>
  </si>
  <si>
    <t>Linear</t>
  </si>
  <si>
    <t>Output Voltage</t>
  </si>
  <si>
    <t>3.3V</t>
  </si>
  <si>
    <t>AP7362A-33SP-13</t>
  </si>
  <si>
    <t>Max output current</t>
  </si>
  <si>
    <t>1.5A</t>
  </si>
  <si>
    <t>LM66200DRLR</t>
  </si>
  <si>
    <t>OR Controller N+1 ORing Controller N-Channel 2:1 SOT-583</t>
  </si>
  <si>
    <t>DX07S024JA1R1300</t>
  </si>
  <si>
    <t>CONN RCP USB3.1 TYPEC 24P SMD RA</t>
  </si>
  <si>
    <t>TB003-500-P03BE</t>
  </si>
  <si>
    <t>TERMINAL BLOCK, SCREW TYPE, 5.00</t>
  </si>
  <si>
    <t>Frequency</t>
  </si>
  <si>
    <t>Load Capacitance</t>
  </si>
  <si>
    <t>12MHz</t>
  </si>
  <si>
    <t>Crystal</t>
  </si>
  <si>
    <t>10pF</t>
  </si>
  <si>
    <t>ABM8-272-T3</t>
  </si>
  <si>
    <t>Mounting</t>
  </si>
  <si>
    <t>SMD</t>
  </si>
  <si>
    <t>CRYSTAL 12.0000MHZ 10PF SMD</t>
  </si>
  <si>
    <t>2.2uF</t>
  </si>
  <si>
    <t>50V</t>
  </si>
  <si>
    <t>UMK212BB7225KG-T</t>
  </si>
  <si>
    <t>CL21B104KBCNNNC</t>
  </si>
  <si>
    <t>47uF</t>
  </si>
  <si>
    <t>EEE-FN1A470UR</t>
  </si>
  <si>
    <t>4mm Dia</t>
  </si>
  <si>
    <t>Aluminum Electrolytic</t>
  </si>
  <si>
    <t>GRT21BR61H475KE13L</t>
  </si>
  <si>
    <t>Max Forward Current</t>
  </si>
  <si>
    <t>Mount</t>
  </si>
  <si>
    <t>Schottky</t>
  </si>
  <si>
    <t>40V</t>
  </si>
  <si>
    <t>Breakdown voltage</t>
  </si>
  <si>
    <t>3A</t>
  </si>
  <si>
    <t>Axial</t>
  </si>
  <si>
    <t>1N5822G</t>
  </si>
  <si>
    <t>PTC</t>
  </si>
  <si>
    <t>FUSE HOLDER BLADE 80V PCB</t>
  </si>
  <si>
    <t>178.6165.0002</t>
  </si>
  <si>
    <t>Thru-Hole</t>
  </si>
  <si>
    <t>MF-MSMF050-2</t>
  </si>
  <si>
    <t>ECS-MPIL0630-2R2MC</t>
  </si>
  <si>
    <t>FIXED IND 2.2UH 10A 15 MOHM SMD</t>
  </si>
  <si>
    <t>2.2uH</t>
  </si>
  <si>
    <t>RR1220P-102-D</t>
  </si>
  <si>
    <t>RES SMD 1K OHM 0.5% 1/10W 0805</t>
  </si>
  <si>
    <t>Potentiometer</t>
  </si>
  <si>
    <t>3386P-1-104LF</t>
  </si>
  <si>
    <t>TRIMMER 100K OHM 0.5W PC PIN TOP</t>
  </si>
  <si>
    <t>10k</t>
  </si>
  <si>
    <t>5%</t>
  </si>
  <si>
    <t>1/8W</t>
  </si>
  <si>
    <t>RC0805JR-0710KL</t>
  </si>
  <si>
    <t>RES 10K OHM 5% 1/8W 0805</t>
  </si>
  <si>
    <t>52.3k</t>
  </si>
  <si>
    <t>RC0805FR-0752K3L</t>
  </si>
  <si>
    <t>RES 52.3K OHM 1% 1/8W 0805</t>
  </si>
  <si>
    <t>Switching</t>
  </si>
  <si>
    <t>8A</t>
  </si>
  <si>
    <t>MAX20408AFOF/VY+</t>
  </si>
  <si>
    <t>0.8V-10V</t>
  </si>
  <si>
    <t>Buck Switching Regulator IC Positive Adjustable (Fixed) 0.8V (5V) 1 Output 8A 17-PowerWFQFN</t>
  </si>
  <si>
    <t>TB002-500-02BE</t>
  </si>
  <si>
    <t>Series / Family</t>
  </si>
  <si>
    <t>Screw Terminal</t>
  </si>
  <si>
    <t>USB-C</t>
  </si>
  <si>
    <t>Molex</t>
  </si>
  <si>
    <t>Gender (plug/port)</t>
  </si>
  <si>
    <t>Port</t>
  </si>
  <si>
    <t>Genderless</t>
  </si>
  <si>
    <t>Plug</t>
  </si>
  <si>
    <t>0050579402</t>
  </si>
  <si>
    <t>Mating Connector Part Number</t>
  </si>
  <si>
    <t>33pF</t>
  </si>
  <si>
    <t>CERAMIC RES 12.0000MHZ 33PF SMD</t>
  </si>
  <si>
    <t>Resonator</t>
  </si>
  <si>
    <t>CSTNE12M0GH5L000R0</t>
  </si>
  <si>
    <t>RES 220 OHM 1% 1/8W 0805</t>
  </si>
  <si>
    <t>CRGCQ0805F220R</t>
  </si>
  <si>
    <t>71609-308LF</t>
  </si>
  <si>
    <t>CONN RCPT 16POS 0.1 GOLD SMD R/A</t>
  </si>
  <si>
    <t>MCP2200T-I/SO</t>
  </si>
  <si>
    <t>IC USB 2.0 - UART 20SOIC</t>
  </si>
  <si>
    <t>Rectifier</t>
  </si>
  <si>
    <t>1000V</t>
  </si>
  <si>
    <t>1A</t>
  </si>
  <si>
    <t>DO-214AA</t>
  </si>
  <si>
    <t>S1MB-13-F</t>
  </si>
  <si>
    <t>Diode 1000 V 1A Surface Mount SMB</t>
  </si>
  <si>
    <t>0050579403</t>
  </si>
  <si>
    <t>Part Categories</t>
  </si>
  <si>
    <t>Capacitors</t>
  </si>
  <si>
    <t>Diodes</t>
  </si>
  <si>
    <t>Resistors</t>
  </si>
  <si>
    <t>Switches</t>
  </si>
  <si>
    <t>Inductors</t>
  </si>
  <si>
    <t>ICs</t>
  </si>
  <si>
    <t>Voltage Regulators</t>
  </si>
  <si>
    <t>LEDs</t>
  </si>
  <si>
    <t>MCUs</t>
  </si>
  <si>
    <t>Crystals &amp; Oscillators</t>
  </si>
  <si>
    <t>Fuses</t>
  </si>
  <si>
    <t>Connectors</t>
  </si>
  <si>
    <t>Ferrite Beads</t>
  </si>
  <si>
    <t>Mounting Type</t>
  </si>
  <si>
    <t>30 Ohms @ 100 MHz 1 Power, Signal Line Ferrite Bead 0805 (2012 Metric) 3A 25mOhm</t>
  </si>
  <si>
    <t>Mount Type</t>
  </si>
  <si>
    <t>1/10W</t>
  </si>
  <si>
    <t>Generic Pushbutton</t>
  </si>
  <si>
    <t>Welcome to the MIL Altium parts list!</t>
  </si>
  <si>
    <t>This spreadsheet contains the standard list of parts to be used for PCB designs. Each of these parts has been added to the standard Altium libraries found in this repo.</t>
  </si>
  <si>
    <t>Added to Altium?</t>
  </si>
  <si>
    <t>Nonpolarized</t>
  </si>
  <si>
    <t>Polarized</t>
  </si>
  <si>
    <t>Polarity</t>
  </si>
  <si>
    <t>Anderson</t>
  </si>
  <si>
    <t>N/A</t>
  </si>
  <si>
    <t>Right-Angle Wire-to-Board Connector</t>
  </si>
  <si>
    <t>Header</t>
  </si>
  <si>
    <t>No Series</t>
  </si>
  <si>
    <t>005057-9404</t>
  </si>
  <si>
    <t>70543-0003</t>
  </si>
  <si>
    <t>Notes</t>
  </si>
  <si>
    <t>3-18V, Unidirectional</t>
  </si>
  <si>
    <t>ORing (+5V)</t>
  </si>
  <si>
    <t>Bridge (USB 2.0-UART)</t>
  </si>
  <si>
    <t>SMD 7.4 x 6.6mm</t>
  </si>
  <si>
    <t>SMD 0603</t>
  </si>
  <si>
    <t># GPIO</t>
  </si>
  <si>
    <t>RP2350A</t>
  </si>
  <si>
    <t>SPI</t>
  </si>
  <si>
    <t>UART</t>
  </si>
  <si>
    <t>I2C</t>
  </si>
  <si>
    <t>PWM</t>
  </si>
  <si>
    <t>USB</t>
  </si>
  <si>
    <t>SC1509-A4</t>
  </si>
  <si>
    <t>Res (Raw)</t>
  </si>
  <si>
    <t>Operation</t>
  </si>
  <si>
    <t>Buck</t>
  </si>
  <si>
    <t>Input Voltage</t>
  </si>
  <si>
    <t>2.2V-5V</t>
  </si>
  <si>
    <t>Linear Voltage Regulator IC Positive Fixed 1 Output 1.5A 8-SO-EP</t>
  </si>
  <si>
    <t>3.0V-36V</t>
  </si>
  <si>
    <t>Non-LDO</t>
  </si>
  <si>
    <t>Misc Components</t>
  </si>
  <si>
    <t>Default mount hole</t>
  </si>
  <si>
    <t>Buzzer (Passive)</t>
  </si>
  <si>
    <t>AI-1223-TWT-3V-2-R</t>
  </si>
  <si>
    <t>Buzzers Indicator, Internally Driven Electromechanical/Magnetic 3 V 30mA 2.3kHz 82dB @ 3V, 10cm Through Hole PC Pins</t>
  </si>
  <si>
    <t>RC0603FR-07100RL</t>
  </si>
  <si>
    <t>RES 100 OHM 1% 1/10W 0603</t>
  </si>
  <si>
    <t>D-Sub</t>
  </si>
  <si>
    <t>LD09S33E4GV00LF</t>
  </si>
  <si>
    <t>9 Position D-Sub Receptacle, Female Sockets Connector</t>
  </si>
  <si>
    <t># Pins</t>
  </si>
  <si>
    <t>For RS-232</t>
  </si>
  <si>
    <t>USB2.0-3.1</t>
  </si>
  <si>
    <t>Series</t>
  </si>
  <si>
    <t>Raspberry Pi</t>
  </si>
  <si>
    <t>Zero 2W</t>
  </si>
  <si>
    <t>Device</t>
  </si>
  <si>
    <t>Single Board Computer</t>
  </si>
  <si>
    <t>SBC RP Zero 2W</t>
  </si>
  <si>
    <t>Microprocessor</t>
  </si>
  <si>
    <t>Pico 2</t>
  </si>
  <si>
    <t>SC1631</t>
  </si>
  <si>
    <t>Pico 2 without headers</t>
  </si>
  <si>
    <t>Pi 5</t>
  </si>
  <si>
    <t>Pi 5 w/ active cooler</t>
  </si>
  <si>
    <t>LCD</t>
  </si>
  <si>
    <t>16x2 LCD Display</t>
  </si>
  <si>
    <t>16x2 LCD, no driver, only parallel pins</t>
  </si>
  <si>
    <t>M3 Mount Hole</t>
  </si>
  <si>
    <t>3386T-1-103LF</t>
  </si>
  <si>
    <t>10 kOhms 0.5W, 1/2W PC Pins Through Hole Trimmer Potentiometer Cermet 1.0 Turn Top Adjustment</t>
  </si>
  <si>
    <t>1/4W</t>
  </si>
  <si>
    <t>MFR-25FTF52-100K</t>
  </si>
  <si>
    <t>100 kOhms ±1% 0.25W, 1/4W Through Hole Resistor Axial Metal Film</t>
  </si>
  <si>
    <t>100k</t>
  </si>
  <si>
    <t>USB-B</t>
  </si>
  <si>
    <t>USB-B-S-F-B-TH</t>
  </si>
  <si>
    <t>USB-B (USB TYPE-B) USB 2.0 Receptacle Connector 4 Position Through Hole, Right Angle</t>
  </si>
  <si>
    <t>Storage Technology</t>
  </si>
  <si>
    <t>Total Capacity</t>
  </si>
  <si>
    <t>Memory Organization</t>
  </si>
  <si>
    <t>Interface</t>
  </si>
  <si>
    <t>FLASH - NOR</t>
  </si>
  <si>
    <t>16M x 8</t>
  </si>
  <si>
    <t>128Mbit</t>
  </si>
  <si>
    <t>W25Q128JVSIM</t>
  </si>
  <si>
    <t>FLASH - NOR Memory IC 128Mbit SPI - Quad I/O, QPI, DTR 133 MHz 8-SOIC</t>
  </si>
  <si>
    <t>Automotive Fuse Size</t>
  </si>
  <si>
    <t>Standard, Mini</t>
  </si>
  <si>
    <t>Mini</t>
  </si>
  <si>
    <t>Max Current</t>
  </si>
  <si>
    <t>500V</t>
  </si>
  <si>
    <t>30A</t>
  </si>
  <si>
    <t>MFR Part Number</t>
  </si>
  <si>
    <t>Fuse Holder 30 A 500V 1 Circuit Blade Through Hole</t>
  </si>
  <si>
    <t>1M</t>
  </si>
  <si>
    <t>1/2W</t>
  </si>
  <si>
    <t>CFR-50JB-52-1M</t>
  </si>
  <si>
    <t>680k</t>
  </si>
  <si>
    <t>CFR-50JB-52-680K</t>
  </si>
  <si>
    <t>1 MOhms ±5% 0.5W, 1/2W Through Hole Resistor Axial Automotive AEC-Q200 Carbon Film</t>
  </si>
  <si>
    <t>680 kOhms ±5% 0.5W, 1/2W Through Hole Resistor Axial Automotive AEC-Q200 Carbon Film</t>
  </si>
  <si>
    <t>C330C105K5R5TA7301</t>
  </si>
  <si>
    <t>1uF</t>
  </si>
  <si>
    <t>Technology</t>
  </si>
  <si>
    <t>Configuration</t>
  </si>
  <si>
    <t>FET</t>
  </si>
  <si>
    <t>Footprint</t>
  </si>
  <si>
    <t>N-Channel</t>
  </si>
  <si>
    <t>200A</t>
  </si>
  <si>
    <t>CSD18510KCS</t>
  </si>
  <si>
    <t>N-Channel 40 V 200A (Ta) 250W (Ta) Through Hole TO-220-3</t>
  </si>
  <si>
    <t>3.3uH</t>
  </si>
  <si>
    <t>SMD 0806</t>
  </si>
  <si>
    <t>AOTA-B201610S3R3-101-T</t>
  </si>
  <si>
    <t>3.3 µH Shielded Molded Inductor 2.1 A 140mOhm Max 0806 (2016 Metric)</t>
  </si>
  <si>
    <t>LTC1661CN8#PBF</t>
  </si>
  <si>
    <t>DAC</t>
  </si>
  <si>
    <t>10 Bit Digital to Analog Converter 2 8-PDIP</t>
  </si>
  <si>
    <t>Slide Switch (Thru-Hole)</t>
  </si>
  <si>
    <t>SPDT</t>
  </si>
  <si>
    <t>09.03290.01</t>
  </si>
  <si>
    <t>0.5A</t>
  </si>
  <si>
    <t>Slide Switch SPDT Through Hole</t>
  </si>
  <si>
    <t>USB Hub</t>
  </si>
  <si>
    <t>USB 2.0, 4-port</t>
  </si>
  <si>
    <t>TUSB2046BVFR</t>
  </si>
  <si>
    <t>USB Hub Controller USB 2.0 USB Interface 32-LQFP (7x7)</t>
  </si>
  <si>
    <t>CC0603JRNPO9BN240</t>
  </si>
  <si>
    <t>24uF</t>
  </si>
  <si>
    <t>RC0603FR-071ML</t>
  </si>
  <si>
    <t>1 MOhms ±1% 0.1W, 1/10W Chip Resistor 0603 (1608 Metric) Moisture Resistant Thick Film</t>
  </si>
  <si>
    <t>USB Power Switch</t>
  </si>
  <si>
    <t>500mA 4-port</t>
  </si>
  <si>
    <t>TPS2044BDR</t>
  </si>
  <si>
    <t>Power Switch/Driver 1:1 N-Channel 500mA 16-SOIC</t>
  </si>
  <si>
    <t>47k</t>
  </si>
  <si>
    <t>RC0603FR-0747KL</t>
  </si>
  <si>
    <t>47 kOhms ±1% 0.1W, 1/10W Chip Resistor 0603 (1608 Metric) Moisture Resistant Thick Film</t>
  </si>
  <si>
    <t>USB-A</t>
  </si>
  <si>
    <t>Male</t>
  </si>
  <si>
    <t>Female</t>
  </si>
  <si>
    <t>KUSBEX-ASFS1N-B</t>
  </si>
  <si>
    <t>USB2.0</t>
  </si>
  <si>
    <t>USB-A (USB TYPE-A) USB 2.0 Receptacle Connector 4 Position Through Hole, Right Angle</t>
  </si>
  <si>
    <t>USB-A Dual</t>
  </si>
  <si>
    <t>ORing Controller</t>
  </si>
  <si>
    <t>NCV68061SNAIT1G</t>
  </si>
  <si>
    <t>OR Controller N+1 ORing Controller N-Channel 1:1 6-TSOP</t>
  </si>
  <si>
    <t># of pads/points</t>
  </si>
  <si>
    <t>THM</t>
  </si>
  <si>
    <t>White PC Test Point, Multipurpose Phosphor Bronze Silver Plating Through Hole Mounting Type</t>
  </si>
  <si>
    <t>1000uF</t>
  </si>
  <si>
    <t>35V</t>
  </si>
  <si>
    <t>35PK1000MEFC10X20</t>
  </si>
  <si>
    <t>TB002-500-05BE</t>
  </si>
  <si>
    <t>5 Position Wire to Board Terminal Block Horizontal with Board 0.197" (5.00mm) Through Hole</t>
  </si>
  <si>
    <t>TB002-500-04BE</t>
  </si>
  <si>
    <t>4 Position Wire to Board Terminal Block Horizontal with Board 0.197" (5.00mm) Through Hole</t>
  </si>
  <si>
    <t>TB002-500-06BE</t>
  </si>
  <si>
    <t>6 Position Wire to Board Terminal Block Horizontal with Board 0.197" (5.00mm) Through Hole</t>
  </si>
  <si>
    <t>TB002-500-10BE</t>
  </si>
  <si>
    <t>10 Position Wire to Board Terminal Block Horizontal with Board 0.197" (5.00mm) Through Hole</t>
  </si>
  <si>
    <t>3mm Diameter</t>
  </si>
  <si>
    <t>151031VS06000</t>
  </si>
  <si>
    <t>CFR-25JR-52-220R</t>
  </si>
  <si>
    <t>220 Ohms ±5% 0.25W, 1/4W Through Hole Resistor Axial Automotive AEC-Q200 Carbon Film</t>
  </si>
  <si>
    <t>Neopixel (Single)</t>
  </si>
  <si>
    <t>LED</t>
  </si>
  <si>
    <t>5x5mm</t>
  </si>
  <si>
    <t>Clear</t>
  </si>
  <si>
    <t>RGB</t>
  </si>
  <si>
    <t>Addressable Lighting - LED Serial NRZ (Shift Register) Red, Green, Blue (RGB) 5.00mm L x 5.00mm W</t>
  </si>
  <si>
    <t>LDO</t>
  </si>
  <si>
    <t>0-26V</t>
  </si>
  <si>
    <t>1.25V-25V</t>
  </si>
  <si>
    <t>MIC29302WT</t>
  </si>
  <si>
    <t>Linear Voltage Regulator IC Positive Adjustable 1 Output 3A TO-220-5</t>
  </si>
  <si>
    <t>3.3k</t>
  </si>
  <si>
    <t>RC0603FR-073K3L</t>
  </si>
  <si>
    <t>3.3 kOhms ±1% 0.1W, 1/10W Chip Resistor 0603 (1608 Metric) Moisture Resistant Thick Film</t>
  </si>
  <si>
    <t>1.8V</t>
  </si>
  <si>
    <t>0-20V</t>
  </si>
  <si>
    <t>NCP1117IST18T3G</t>
  </si>
  <si>
    <t>Linear Voltage Regulator IC Positive Fixed 1 Output 1A SOT-223</t>
  </si>
  <si>
    <t>GRM188C81C106MA73D</t>
  </si>
  <si>
    <t>Speaker</t>
  </si>
  <si>
    <t>CMS-40558N-L152</t>
  </si>
  <si>
    <t>8 Ohms General Purpose Speaker 500 mW 400 Hz ~ 6 kHz Top Round</t>
  </si>
  <si>
    <t>I2C Bidirectional</t>
  </si>
  <si>
    <t>PCA9306DCTR</t>
  </si>
  <si>
    <t>Voltage Level Translator Bidirectional 1 Circuit 2 Channel SM8</t>
  </si>
  <si>
    <t>200k</t>
  </si>
  <si>
    <t>RC0603JR-07200KL</t>
  </si>
  <si>
    <t>200 kOhms ±5% 0.1W, 1/10W Chip Resistor 0603 (1608 Metric) Moisture Resistant Thick Film</t>
  </si>
  <si>
    <t>300k</t>
  </si>
  <si>
    <t>CRCW0603300KFKEA</t>
  </si>
  <si>
    <t>300 kOhms ±1% 0.125W, 1/8W Chip Resistor 0603 (1608 Metric) Automotive AEC-Q200 Thick Film</t>
  </si>
  <si>
    <t>RMCF0603FT10K0</t>
  </si>
  <si>
    <t>10 kOhms ±1% 0.1W, 1/10W Chip Resistor 0603 (1608 Metric) Automotive AEC-Q200 Thick Film</t>
  </si>
  <si>
    <t>Toggle Switch</t>
  </si>
  <si>
    <t>ANT11TFHQE</t>
  </si>
  <si>
    <t>5A</t>
  </si>
  <si>
    <t>28V</t>
  </si>
  <si>
    <t>Toggle Switch SPDT Through Hole, Right Angle</t>
  </si>
  <si>
    <t>DC Barrel Jack</t>
  </si>
  <si>
    <t>PJ-102A</t>
  </si>
  <si>
    <t>Power Barrel Connector Jack 2.00mm ID (0.079"), 5.50mm OD (0.217") Through Hole, Right Angle</t>
  </si>
  <si>
    <t>ID: 2.00mm</t>
  </si>
  <si>
    <t>27pF</t>
  </si>
  <si>
    <t>0603N270F500CT</t>
  </si>
  <si>
    <t>KUSBX-AS2N-B</t>
  </si>
  <si>
    <t>USB-A (USB TYPE-A), Stacked Receptacle Connector 8 Position Through Hole, Right Angle</t>
  </si>
  <si>
    <t>Xbee</t>
  </si>
  <si>
    <t>XBEE 900HP</t>
  </si>
  <si>
    <t>RF Device</t>
  </si>
  <si>
    <t>XBP9B-DMST-002</t>
  </si>
  <si>
    <t>0353620250</t>
  </si>
  <si>
    <t>Sherlock</t>
  </si>
  <si>
    <t>Connector Header Through Hole 2 position 0.079" (2.00mm)</t>
  </si>
  <si>
    <t>Pitch = 2.00mm</t>
  </si>
  <si>
    <t>151031SS06000</t>
  </si>
  <si>
    <t>B3W-9010-R1N</t>
  </si>
  <si>
    <t>Tactile Switch SPST-NO Top Actuated Through Hole</t>
  </si>
  <si>
    <t>Illuminated Red Pushbutton</t>
  </si>
  <si>
    <t>White</t>
  </si>
  <si>
    <t>QBL7IW60D-WW</t>
  </si>
  <si>
    <t>0353620450</t>
  </si>
  <si>
    <t>Connector Header Through Hole 4 position 0.079" (2.00mm)</t>
  </si>
  <si>
    <t>Audio Amplifier</t>
  </si>
  <si>
    <t>LM386N-1/NOPB</t>
  </si>
  <si>
    <t>Amplifier IC 1-Channel (Mono) Class AB 8-PDIP</t>
  </si>
  <si>
    <t>20-200V/V gain</t>
  </si>
  <si>
    <t>47nF</t>
  </si>
  <si>
    <t>C317C473M5U5TA</t>
  </si>
  <si>
    <t>CFR-25JT-52-10R</t>
  </si>
  <si>
    <t>10 Ohms ±5% 0.25W, 1/4W Through Hole Resistor Axial Automotive AEC-Q200 Carbon Film</t>
  </si>
  <si>
    <t>270uF</t>
  </si>
  <si>
    <t>35ZLH270MEFC8X16</t>
  </si>
  <si>
    <t>C320C104K5R5TA</t>
  </si>
  <si>
    <t>160V</t>
  </si>
  <si>
    <t>UVR2C100MPD</t>
  </si>
  <si>
    <t>151031YS05900</t>
  </si>
  <si>
    <t>DFPlayer Mini</t>
  </si>
  <si>
    <t>MP3 Player</t>
  </si>
  <si>
    <t>MicroSD, DAC, Speaker Amp</t>
  </si>
  <si>
    <t>DFR0299</t>
  </si>
  <si>
    <t>15k</t>
  </si>
  <si>
    <t>CRCW060315K0FKEA</t>
  </si>
  <si>
    <t>15 kOhms ±1% 0.125W, 1/8W Chip Resistor 0603 (1608 Metric) Automotive AEC-Q200 Thick Film</t>
  </si>
  <si>
    <t>CRCW0603680RFKEA</t>
  </si>
  <si>
    <t>680 Ohms ±1% 0.125W, 1/8W Chip Resistor 0603 (1608 Metric) Automotive AEC-Q200 Thick Film</t>
  </si>
  <si>
    <t>302-S161</t>
  </si>
  <si>
    <t>Mezzanine</t>
  </si>
  <si>
    <t>DF40C-12DP-0.4V(51)</t>
  </si>
  <si>
    <t>Pitch = 0.40mm</t>
  </si>
  <si>
    <t>12 Position Connector Receptacle, Center Strip Contacts Surface Mount Gold</t>
  </si>
  <si>
    <t>12 Position Connector Plug, Outer Shroud Contacts Surface Mount Gold</t>
  </si>
  <si>
    <t>Height = 2.0mm Pitch = 0.40mm</t>
  </si>
  <si>
    <t>DF40B(2.0)-12DS-0.4V(51)</t>
  </si>
  <si>
    <t>1kbit</t>
  </si>
  <si>
    <t>128 x 8/64 x 16</t>
  </si>
  <si>
    <t>3-Wire</t>
  </si>
  <si>
    <t>FLASH</t>
  </si>
  <si>
    <t>M93C46-WMN6TP</t>
  </si>
  <si>
    <t>EEPROM Memory IC 1Kbit Microwire 2 MHz 8-SOIC</t>
  </si>
  <si>
    <t>22pF</t>
  </si>
  <si>
    <t>CC0603JRNPO9BN220</t>
  </si>
  <si>
    <t>1.5k</t>
  </si>
  <si>
    <t>CR0603-FX-1501ELF</t>
  </si>
  <si>
    <t>1.5 kOhms ±1% 0.1W, 1/10W Chip Resistor 0603 (1608 Metric) Moisture Resistant Thick Film</t>
  </si>
  <si>
    <t>DF40HC(3.5)-20DS-0.4V(51)</t>
  </si>
  <si>
    <t>DF40C-20DP-0.4V(51)</t>
  </si>
  <si>
    <t>Height = 3.5mm</t>
  </si>
  <si>
    <t>SOD-123</t>
  </si>
  <si>
    <t>B5819W-TP</t>
  </si>
  <si>
    <t>Diode 40 V 1A Surface Mount SOD-123</t>
  </si>
  <si>
    <t>Zener</t>
  </si>
  <si>
    <t>5.6V</t>
  </si>
  <si>
    <t>DO-214AC</t>
  </si>
  <si>
    <t>SMAZ5V6-13-F</t>
  </si>
  <si>
    <t>Zener Diode 5.6 V 1 W ±5% Surface Mount SMA</t>
  </si>
  <si>
    <t>Optocoupler</t>
  </si>
  <si>
    <t>4N26S</t>
  </si>
  <si>
    <t>Optoisolator Transistor with Base Output 1500Vrms 1 Channel 6-SMD</t>
  </si>
  <si>
    <t>DF40C-30DP-0.4V(51)</t>
  </si>
  <si>
    <t>DF40HC(3.5)-30DS-0.4V(51)</t>
  </si>
  <si>
    <t>30 Position Connector Receptacle, Center Strip Contacts Surface Mount Gold</t>
  </si>
  <si>
    <t>30 Position Connector Plug, Outer Shroud Contacts Surface Mount Gold</t>
  </si>
  <si>
    <t>USB-B Mini</t>
  </si>
  <si>
    <t>MUSB-05-S-B-SM-A-K-TR</t>
  </si>
  <si>
    <t>USB - mini B USB 2.0 Receptacle Connector 5 Position Surface Mount, Right Angle</t>
  </si>
  <si>
    <t>Via</t>
  </si>
  <si>
    <t>Signal Via</t>
  </si>
  <si>
    <t>Shape</t>
  </si>
  <si>
    <t>Round</t>
  </si>
  <si>
    <t>Hole Size (diameter)</t>
  </si>
  <si>
    <t>3.5mm</t>
  </si>
  <si>
    <t>Copper X-Size</t>
  </si>
  <si>
    <t>Copper Y-Size</t>
  </si>
  <si>
    <t>6mm</t>
  </si>
  <si>
    <t>0.3mm</t>
  </si>
  <si>
    <t>0.7mm</t>
  </si>
  <si>
    <t>Thru-hole via for signal connection.</t>
  </si>
  <si>
    <t>Use for board mounting points. Place 4.5mm from board edges.</t>
  </si>
  <si>
    <t>Lug</t>
  </si>
  <si>
    <t>AMT0440005TH0000G</t>
  </si>
  <si>
    <t>4 Pin Screw Terminal, Power Tap M4 Through Hole</t>
  </si>
  <si>
    <t>AMT0230003TH0000G</t>
  </si>
  <si>
    <t>2 Pin Screw Terminal, Power Tap M3 Through Hole</t>
  </si>
  <si>
    <t>NTC Thermistor</t>
  </si>
  <si>
    <t>B57164K0103J000</t>
  </si>
  <si>
    <t>NTC Thermistor 10k Disc, 5.5mm Dia x 5.0mm W</t>
  </si>
  <si>
    <t>CL10B105KA8NNNC</t>
  </si>
  <si>
    <t>470pF</t>
  </si>
  <si>
    <t>CL10C471JB8NNNC</t>
  </si>
  <si>
    <t>4700pF</t>
  </si>
  <si>
    <t>Battery Monitor / BMS</t>
  </si>
  <si>
    <t>For LiPos with 3-5 cells</t>
  </si>
  <si>
    <t>BQ7692006PWR</t>
  </si>
  <si>
    <t>Battery Battery Monitor IC Multi-Chemistry 20-TSSOP</t>
  </si>
  <si>
    <t>JST</t>
  </si>
  <si>
    <t>SM03B-SRSS-TB</t>
  </si>
  <si>
    <t>Connector Header Surface Mount, Right Angle 3 position 0.039" (1.00mm)</t>
  </si>
  <si>
    <t>Debug connector recommended for RP2350-series SW pins.</t>
  </si>
  <si>
    <t>0.01uF</t>
  </si>
  <si>
    <t>C0603C103K5RACTU</t>
  </si>
  <si>
    <t>CL10B472KB8WPNC</t>
  </si>
  <si>
    <t>Back-to-back external NMOS</t>
  </si>
  <si>
    <t>Single external NMOS</t>
  </si>
  <si>
    <t>2CH single internal NMOS</t>
  </si>
  <si>
    <t>LM74810QDRRRQ1</t>
  </si>
  <si>
    <t>OR Controller N+1 ORing Controller N-Channel 1:1 12-WSON (3x3)</t>
  </si>
  <si>
    <t>TVS</t>
  </si>
  <si>
    <t>33V</t>
  </si>
  <si>
    <t>SMBJ33CA</t>
  </si>
  <si>
    <t>53.3V Clamp 11.3A Ipp Tvs Diode Surface Mount DO-214AA (SMBJ)</t>
  </si>
  <si>
    <t>90.9k</t>
  </si>
  <si>
    <t>CR0603-FX-9092ELF</t>
  </si>
  <si>
    <t>90.9 kOhms ±1% 0.1W, 1/10W Chip Resistor 0603 (1608 Metric) Moisture Resistant Thick Film</t>
  </si>
  <si>
    <t>9.09k</t>
  </si>
  <si>
    <t>RMCF0603FT9K09</t>
  </si>
  <si>
    <t>9.09 kOhms ±1% 0.1W, 1/10W Chip Resistor 0603 (1608 Metric) Automotive AEC-Q200 Thick Film</t>
  </si>
  <si>
    <t>3.48k</t>
  </si>
  <si>
    <t>RMCF0603FT3K48</t>
  </si>
  <si>
    <t>3.48 kOhms ±1% 0.1W, 1/10W Chip Resistor 0603 (1608 Metric) Automotive AEC-Q200 Thick Film</t>
  </si>
  <si>
    <t>Uses single-ended CAN</t>
  </si>
  <si>
    <t>RC0603FR-07120RL</t>
  </si>
  <si>
    <t>120 Ohms ±1% 0.1W, 1/10W Chip Resistor 0603 (1608 Metric) Moisture Resistant Thick Film</t>
  </si>
  <si>
    <t>TSX-3225 20.0000MF20G-AC3</t>
  </si>
  <si>
    <t>20 MHz ±10ppm Crystal 9pF 60 Ohms 4-SMD, No Lead</t>
  </si>
  <si>
    <t>9pF</t>
  </si>
  <si>
    <t>20MHz</t>
  </si>
  <si>
    <t>0353620350</t>
  </si>
  <si>
    <t>Connector Header Through Hole 3 position 0.079" (2.00mm)</t>
  </si>
  <si>
    <t>5V</t>
  </si>
  <si>
    <t>LM2677SX-5.0/NOPB</t>
  </si>
  <si>
    <t>Buck Switching Regulator IC Positive Fixed 5V 1 Output 5A TO-263-8, D2PAK (7 Leads + Tab), TO-263CA</t>
  </si>
  <si>
    <t>8-45V</t>
  </si>
  <si>
    <t>90deg 2.54mm pitch</t>
  </si>
  <si>
    <t>6.3mm Dia</t>
  </si>
  <si>
    <t>UWT1V470MCL1GS</t>
  </si>
  <si>
    <t>Inrush Current Limiter</t>
  </si>
  <si>
    <t>TPS2491DGSR</t>
  </si>
  <si>
    <t>Hot Swap Controller 1 Channel General Purpose 10-VSSOP</t>
  </si>
  <si>
    <t>Electronic Fuse</t>
  </si>
  <si>
    <t>3-18V, 4A output, internal FET</t>
  </si>
  <si>
    <t>TPS259571DSGR</t>
  </si>
  <si>
    <t>Electronic Fuse Regulator 4A 8-WSON (2x2)</t>
  </si>
  <si>
    <t>22uF</t>
  </si>
  <si>
    <t>CL21A226MAYNNWE</t>
  </si>
  <si>
    <t>392k</t>
  </si>
  <si>
    <t>CR0603-FX-3923ELF</t>
  </si>
  <si>
    <t>392 kOhms ±1% 0.1W, 1/10W Chip Resistor 0603 (1608 Metric) Moisture Resistant Thick Film</t>
  </si>
  <si>
    <t>RC0603FR-07845RL</t>
  </si>
  <si>
    <t>845 Ohms ±1% 0.1W, 1/10W Chip Resistor 0603 (1608 Metric) Moisture Resistant Thick Film</t>
  </si>
  <si>
    <t>RMCF0603FT698R</t>
  </si>
  <si>
    <t>698 Ohms ±1% 0.1W, 1/10W Chip Resistor 0603 (1608 Metric) Automotive AEC-Q200 Thick Film</t>
  </si>
  <si>
    <t>0353630360</t>
  </si>
  <si>
    <t>90deg 2.0mm pitch</t>
  </si>
  <si>
    <t>Connector Header Through Hole, Right Angle 3 position 0.079" (2.00mm)</t>
  </si>
  <si>
    <t>53.2k</t>
  </si>
  <si>
    <t>RC0603FR-0752K3L</t>
  </si>
  <si>
    <t>52.3 kOhms ±1% 0.1W, 1/10W Chip Resistor 0603 (1608 Metric) Moisture Resistant Thick Film</t>
  </si>
  <si>
    <t>GRM188R61E225KA12D</t>
  </si>
  <si>
    <t>414A</t>
  </si>
  <si>
    <t>R_DS ON</t>
  </si>
  <si>
    <t>0.55mOhm</t>
  </si>
  <si>
    <t>TDSON-8</t>
  </si>
  <si>
    <t>IAUCN04S7N005ATMA1</t>
  </si>
  <si>
    <t>N-Channel 40 V 175A (Tj) 179W (Tc) Surface Mount PG-TDSON-8-43</t>
  </si>
  <si>
    <t>CEM-1212S</t>
  </si>
  <si>
    <t>Buzzers Transducer, Externally Driven Magnetic 12 V 40mA 2.4kHz 85dB @ 12V, 10cm Through Hole PC Pins</t>
  </si>
  <si>
    <t>SOT-323</t>
  </si>
  <si>
    <t>1.4A</t>
  </si>
  <si>
    <t>160mOhm</t>
  </si>
  <si>
    <t>BSS816NWH6327XTSA1</t>
  </si>
  <si>
    <t>N-Channel 20 V 1.4A (Ta) 500mW (Ta) Surface Mount PG-SOT323</t>
  </si>
  <si>
    <t>CT08E-16S400-2</t>
  </si>
  <si>
    <t>Buzzers Transducer, Externally Driven Magnetic 12 V 80mA 4kHz 100dB @ 12V, 10cm Surface Mount Solder Pads</t>
  </si>
  <si>
    <t>CL10B104KB8NNNC</t>
  </si>
  <si>
    <t>RGB LED</t>
  </si>
  <si>
    <t>1.55x1.55mm</t>
  </si>
  <si>
    <t>LTST-E143EGBW-P1</t>
  </si>
  <si>
    <t>Red, Green, Blue (RGB) 623nm Red, 528nm Green, 471nm Blue LED Indication - Discrete 1.85V Red, 2.9V Green, 2.9V Blue 4-SMD, No Lead</t>
  </si>
  <si>
    <t>SMD Pushbutton</t>
  </si>
  <si>
    <t>PTS815SJM250SMTRLFS</t>
  </si>
  <si>
    <t>12V</t>
  </si>
  <si>
    <t>Tactile Switch SPST-NO Top Actuated Surface Mount</t>
  </si>
  <si>
    <t>RK73B1JTTD221J</t>
  </si>
  <si>
    <t>220 Ohms ±5% 0.125W, 1/8W Chip Resistor 0603 (1608 Metric) Automotive AEC-Q200 Thick Film</t>
  </si>
  <si>
    <t>CMHZ5232B TR PBFREE</t>
  </si>
  <si>
    <t>Zener Diode 5.6 V 500 mW ±5% Surface Mount SOD-123</t>
  </si>
  <si>
    <t>Barometric Pressure Sensor</t>
  </si>
  <si>
    <t>Pressure Sensor 4.35PSI ~ 18.13PSI (30kPa ~ 125kPa) Absolute 10-WFLGA</t>
  </si>
  <si>
    <t>BMP581</t>
  </si>
  <si>
    <t>3.5V</t>
  </si>
  <si>
    <t>SOD-123F</t>
  </si>
  <si>
    <t>KDZVTR3.3B</t>
  </si>
  <si>
    <t>Zener Diode 3.5 V 1 W ±6.06% Surface Mount PMDU</t>
  </si>
  <si>
    <t>1W</t>
  </si>
  <si>
    <t>600W</t>
  </si>
  <si>
    <t>Max Power</t>
  </si>
  <si>
    <t>1206</t>
  </si>
  <si>
    <t>HRG3216P-1000-D-T1</t>
  </si>
  <si>
    <t>100 Ohms ±0.5% 1W Chip Resistor 1206 (3216 Metric) Anti-Sulfur, Automotive AEC-Q200, Moisture Resistant Thin Film</t>
  </si>
  <si>
    <t>14-35V</t>
  </si>
  <si>
    <t>0.1A</t>
  </si>
  <si>
    <t>L78L12ACUTR</t>
  </si>
  <si>
    <t>Linear Voltage Regulator IC Positive Fixed 1 Output 100mA SOT-89-3</t>
  </si>
  <si>
    <t>0.33uF</t>
  </si>
  <si>
    <t>CGA3E3X7R1H334K080AB</t>
  </si>
  <si>
    <t>12.75V</t>
  </si>
  <si>
    <t>KDZVTR12B</t>
  </si>
  <si>
    <t>Zener Diode 12.75 V 1 W Surface Mount PMDU</t>
  </si>
  <si>
    <t>4V</t>
  </si>
  <si>
    <t>CDSOD323-T03C</t>
  </si>
  <si>
    <t>SOD-323</t>
  </si>
  <si>
    <t>19V (Typ) Clamp 20A (8/20µs) Ipp Tvs Diode Surface Mount SOD-323</t>
  </si>
  <si>
    <t>350W</t>
  </si>
  <si>
    <t>ADC</t>
  </si>
  <si>
    <t>MCP3421A3T-E/CH</t>
  </si>
  <si>
    <t>18 Bit Analog to Digital Converter 1 Input 1 Sigma-Delta SOT-23-6</t>
  </si>
  <si>
    <t>Pheonix</t>
  </si>
  <si>
    <t>1778777</t>
  </si>
  <si>
    <t>2.5mm pitch</t>
  </si>
  <si>
    <t>1778845</t>
  </si>
  <si>
    <t>3 Position Terminal Block Header, Male Pins, Shrouded (4 Side) 0.098" (2.50mm) 90°, Right Angle Surface Mount</t>
  </si>
  <si>
    <t>12bit resolution, single-ended, ~2.7-5.5V</t>
  </si>
  <si>
    <t>18bit resolution, differential, ~2.7-5.5V</t>
  </si>
  <si>
    <t>MCP3221A0T-E/OT</t>
  </si>
  <si>
    <t>12 Bit Analog to Digital Converter 1 Input 1 SAR SOT-23-5</t>
  </si>
  <si>
    <t>1778764</t>
  </si>
  <si>
    <t>1778832</t>
  </si>
  <si>
    <t>2 Position Terminal Block Header, Male Pins, Shrouded (4 Side) 0.098" (2.50mm) 90°, Right Angle Surface Mount</t>
  </si>
  <si>
    <t>280389-2</t>
  </si>
  <si>
    <t>280365</t>
  </si>
  <si>
    <t>2.54mm pitch</t>
  </si>
  <si>
    <t>Connector Header Through Hole, Right Angle 8 position 0.100" (2.54mm)</t>
  </si>
  <si>
    <t>Rectangular</t>
  </si>
  <si>
    <t>15-40V</t>
  </si>
  <si>
    <t>XL1509-12-EV</t>
  </si>
  <si>
    <t>Buck Switching Regulator IC Positive Fixed 12V 1 Output 3A 8-SOIC (0.154", 3.90mm Width)</t>
  </si>
  <si>
    <t>100uF</t>
  </si>
  <si>
    <t>EEE-FT1V101AP</t>
  </si>
  <si>
    <t>68uH</t>
  </si>
  <si>
    <t>SMD 10.85 x 10.2mm</t>
  </si>
  <si>
    <t>VSHB1060T-680MC</t>
  </si>
  <si>
    <t>68 µH Shielded Wirewound Inductor 3.7 A 115mOhm Max 2-SMD Low DCR, Low Loss, Soft Saturation</t>
  </si>
  <si>
    <t>60V</t>
  </si>
  <si>
    <t>SK36A-LTP</t>
  </si>
  <si>
    <t>Diode 60 V 3A Surface Mount DO-214AC (SMA)</t>
  </si>
  <si>
    <t>180W</t>
  </si>
  <si>
    <t>120W</t>
  </si>
  <si>
    <t>1000W</t>
  </si>
  <si>
    <t>40W</t>
  </si>
  <si>
    <t>Bridge (UART-RS232)</t>
  </si>
  <si>
    <t>MAX3232ECDR</t>
  </si>
  <si>
    <t>2/2 Transceiver Full RS232 16-SOIC</t>
  </si>
  <si>
    <t>2 channels</t>
  </si>
  <si>
    <t>0.47uF</t>
  </si>
  <si>
    <t>TMK107B7474KA-TR</t>
  </si>
  <si>
    <t>GNSS</t>
  </si>
  <si>
    <t>Triple-band, RTK, PPP-RTK</t>
  </si>
  <si>
    <t>ZED-F20P-00B</t>
  </si>
  <si>
    <t>- RF Receiver BeiDou, Galileo, GNSS, GPS, QZSS, SBAS -167dBm 8Mbps Not Included 54-LGA (22x17)</t>
  </si>
  <si>
    <t>0353630260</t>
  </si>
  <si>
    <t>Connector Header Through Hole, Right Angle 2 position 0.079" (2.00mm)</t>
  </si>
  <si>
    <t>90deg 2.00mm pitch</t>
  </si>
  <si>
    <t>DF40TC(4.0)-20DS-0.4V(58)</t>
  </si>
  <si>
    <t>4mm Height!</t>
  </si>
  <si>
    <t>20 Position Connector Receptacle, Center Strip Contacts Surface Mount Gold</t>
  </si>
  <si>
    <t>Dual-Band</t>
  </si>
  <si>
    <t>MAX-F10S-00B</t>
  </si>
  <si>
    <t>- RF Receiver BeiDou, Galileo, GLONASS, GNSS, GPS, QZSS -167dBm 921.6kbps Not Included</t>
  </si>
  <si>
    <t>AIMC-0603-47NJ-T</t>
  </si>
  <si>
    <t>47 nH Unshielded Multilayer Inductor 300 mA 700mOhm Max 0603 (1608 Metric)</t>
  </si>
  <si>
    <t>NMOS/PMOS</t>
  </si>
  <si>
    <t>FET Array</t>
  </si>
  <si>
    <t>400mOhm</t>
  </si>
  <si>
    <t>SOT-26</t>
  </si>
  <si>
    <t>Mosfet Array 20V 1.34A, 1.14A 1.12W Surface Mount SOT-26</t>
  </si>
  <si>
    <t>DMC2700UDM-7</t>
  </si>
  <si>
    <t>5</t>
  </si>
  <si>
    <t>RC0603JR-1310RL</t>
  </si>
  <si>
    <t>10 Ohms ±5% 0.1W, 1/10W Chip Resistor 0603 (1608 Metric) Moisture Resistant Thick Film</t>
  </si>
  <si>
    <t>Op-Amp</t>
  </si>
  <si>
    <t>Rail-to-Rail, Vmin=16V, GBP=3kHz</t>
  </si>
  <si>
    <t>Standard (General Purpose) Amplifier 1 Circuit Rail-to-Rail TSOT-23-5</t>
  </si>
  <si>
    <t>LT6003CS5#TRMPBF</t>
  </si>
  <si>
    <t>Buffer</t>
  </si>
  <si>
    <t>Dual Open-Drain</t>
  </si>
  <si>
    <t>NC7WZ07P6X</t>
  </si>
  <si>
    <t>Buffer, Non-Inverting 2 Element 1 Bit per Element Open Drain Output SC-88 (SC-70-6)</t>
  </si>
  <si>
    <t>SMA</t>
  </si>
  <si>
    <t>RFPC-SMA27-F</t>
  </si>
  <si>
    <t>90deg Thru-Hole</t>
  </si>
  <si>
    <t>SMA Connector Jack, Female Socket 50 Ohms Through Hole, Right Angle Solder</t>
  </si>
  <si>
    <t>Illumination LED</t>
  </si>
  <si>
    <t>1414</t>
  </si>
  <si>
    <t>XPEBWT-H1-0000-00CZ5</t>
  </si>
  <si>
    <t>LED Lighting XLamp® XP-E2 White, Neutral 4000K 2.9V 350mA 110° 1414 (3535 Metric)</t>
  </si>
  <si>
    <t>IMU</t>
  </si>
  <si>
    <t>6-axis, accelerometer &amp; gyroscope</t>
  </si>
  <si>
    <t>ISM330DLCTR</t>
  </si>
  <si>
    <t>Accelerometer, Gyroscope, Temperature, 6 Axis Sensor I2C, SPI Output</t>
  </si>
  <si>
    <t>PH2RA-04-UA</t>
  </si>
  <si>
    <t>Connector Header Through Hole, Right Angle 4 position 0.100" (2.54mm)</t>
  </si>
  <si>
    <t>IMU  / Accelerometer</t>
  </si>
  <si>
    <t>3-axis Piezoelectric Accelerometer</t>
  </si>
  <si>
    <t>830M1-0025</t>
  </si>
  <si>
    <t>Accelerometer X, Y, Z Axis ±25g 2Hz ~ 15kHz 12-LCC</t>
  </si>
  <si>
    <t>0.2A</t>
  </si>
  <si>
    <t>TCR2EF33,LM(CT</t>
  </si>
  <si>
    <t>Linear Voltage Regulator IC Positive Fixed 1 Output 200mA SMV (SOT-25)</t>
  </si>
  <si>
    <t>NCV8705MT33TCG</t>
  </si>
  <si>
    <t>Linear Voltage Regulator IC Positive Fixed 1 Output 500mA 6-WDFN (2x2)</t>
  </si>
  <si>
    <t>P-Channel</t>
  </si>
  <si>
    <t>PMF170XP,115</t>
  </si>
  <si>
    <t>V_DS MAX</t>
  </si>
  <si>
    <t>-20V</t>
  </si>
  <si>
    <t>20V</t>
  </si>
  <si>
    <t>I_DS MAX</t>
  </si>
  <si>
    <t>1.14A</t>
  </si>
  <si>
    <t>-1A</t>
  </si>
  <si>
    <t>200mOhm</t>
  </si>
  <si>
    <t>P-Channel 20 V 1A (Ta) 290mW (Ta), 1.67W (Tc) Surface Mount SOT-323</t>
  </si>
  <si>
    <t>Isolation Buffer - Bus Switch</t>
  </si>
  <si>
    <t>SN74CBTLV3245APWR</t>
  </si>
  <si>
    <t>8 ch, Tri-stated when OE=high or powered down</t>
  </si>
  <si>
    <t>Bus Switch 8 x 1:1 20-TSSOP</t>
  </si>
  <si>
    <t>SCD41-D-R2</t>
  </si>
  <si>
    <t>CO2 Sensor</t>
  </si>
  <si>
    <t>Carbon Dioxide (CO2), Humidity, Temperature Sensor I2C</t>
  </si>
  <si>
    <t>BME688</t>
  </si>
  <si>
    <t>Gas, Humidity, Pressure, Temp Sensor</t>
  </si>
  <si>
    <t>I2C or SPI</t>
  </si>
  <si>
    <t>ENS160-BGLM</t>
  </si>
  <si>
    <t>VoC, AQI Sensor</t>
  </si>
  <si>
    <t>Air Quality Sensor I2C, SPI</t>
  </si>
  <si>
    <t>Gas, Humidity, Pressure, Temperature Sensor I2C, SPI Output</t>
  </si>
  <si>
    <t>SEN55-SDN-T</t>
  </si>
  <si>
    <t>Humidity, NOx, Particulate Matter, Temperature, VOC Sensor I2C</t>
  </si>
  <si>
    <t>NOx, Particulate Matter</t>
  </si>
  <si>
    <t>TPS26631PWPT</t>
  </si>
  <si>
    <t>4.5V-60V, 6A</t>
  </si>
  <si>
    <t>Electronic Fuse Regulator 6A 20-HTSSOP</t>
  </si>
  <si>
    <t>36V</t>
  </si>
  <si>
    <t>1.5kW</t>
  </si>
  <si>
    <t>DO-214AB</t>
  </si>
  <si>
    <t>SMCJ36CA</t>
  </si>
  <si>
    <t>58.1V Clamp 25.9A Ipp Tvs Diode Surface Mount DO-214AB (SMCJ)</t>
  </si>
  <si>
    <t>865080840001</t>
  </si>
  <si>
    <t>CSD19537Q3</t>
  </si>
  <si>
    <t>50A</t>
  </si>
  <si>
    <t>14.5mOhm</t>
  </si>
  <si>
    <t>8-VSON-CLIP</t>
  </si>
  <si>
    <t>N-Channel 100 V 50A (Ta) 2.8W (Ta), 83W (Tc) Surface Mount 8-VSON-CLIP (3.3x3.3)</t>
  </si>
  <si>
    <t>220mA</t>
  </si>
  <si>
    <t>3Ohm</t>
  </si>
  <si>
    <t>BSS138</t>
  </si>
  <si>
    <t>N-Channel 50 V 220mA (Ta) 350mW (Ta) Surface Mount SOT-23-3</t>
  </si>
  <si>
    <t>CR0603-FX-8873ELF</t>
  </si>
  <si>
    <t>887k</t>
  </si>
  <si>
    <t>887 kOhms ±1% 0.1W, 1/10W Chip Resistor 0603 (1608 Metric) Moisture Resistant Thick Film</t>
  </si>
  <si>
    <t>CR0603-FX-2942ELF</t>
  </si>
  <si>
    <t>29.4k</t>
  </si>
  <si>
    <t>29.4 kOhms ±1% 0.1W, 1/10W Chip Resistor 0603 (1608 Metric) Moisture Resistant Thick Film</t>
  </si>
  <si>
    <t>34k</t>
  </si>
  <si>
    <t>RC0603FR-1334KL</t>
  </si>
  <si>
    <t>34 kOhms ±1% 0.1W, 1/10W Chip Resistor 0603 (1608 Metric) Moisture Resistant Thick Film</t>
  </si>
  <si>
    <t>24k</t>
  </si>
  <si>
    <t>RC0603FR-1324KL</t>
  </si>
  <si>
    <t>24 kOhms ±1% 0.1W, 1/10W Chip Resistor 0603 (1608 Metric) Moisture Resistant Thick Film</t>
  </si>
  <si>
    <t>CRGCQ0603F56K</t>
  </si>
  <si>
    <t>56k</t>
  </si>
  <si>
    <t>56 kOhms ±1% 0.1W, 1/10W Chip Resistor 0603 (1608 Metric) Automotive AEC-Q200, Moisture Resistant Thick Film</t>
  </si>
  <si>
    <t>35.7k</t>
  </si>
  <si>
    <t>RT0603BRE0735K7L</t>
  </si>
  <si>
    <t>35.7 kOhms ±0.1% 0.1W, 1/10W Chip Resistor 0603 (1608 Metric) Thin Film</t>
  </si>
  <si>
    <t>499k</t>
  </si>
  <si>
    <t>CRCW0603499KFKEA</t>
  </si>
  <si>
    <t>499 kOhms ±1% 0.125W, 1/8W Chip Resistor 0603 (1608 Metric) Automotive AEC-Q200 Thick Film</t>
  </si>
  <si>
    <t>4.87k</t>
  </si>
  <si>
    <t>CR0603-FX-4871ELF</t>
  </si>
  <si>
    <t>4.87 kOhms ±1% 0.1W, 1/10W Chip Resistor 0603 (1608 Metric) Moisture Resistant Thick Film</t>
  </si>
  <si>
    <t>8.25k</t>
  </si>
  <si>
    <t>AF0603FR-078K25L</t>
  </si>
  <si>
    <t>8.25 kOhms ±1% 0.1W, 1/10W Chip Resistor 0603 (1608 Metric) Anti-Sulfur, Automotive AEC-Q200 Thick Film</t>
  </si>
  <si>
    <t>RT0603FRE07681KL</t>
  </si>
  <si>
    <t>681k</t>
  </si>
  <si>
    <t>681 kOhms ±1% 0.1W, 1/10W Chip Resistor 0603 (1608 Metric) Thin Film</t>
  </si>
  <si>
    <t>MAX20410AFOA/VY+</t>
  </si>
  <si>
    <t>10A</t>
  </si>
  <si>
    <t>3.0-36V</t>
  </si>
  <si>
    <t>0.8-10V</t>
  </si>
  <si>
    <t>Buck Switching Regulator IC Positive Adjustable (Fixed) 0.8V (5V) 1 Output 10A 17-PowerWFQFN</t>
  </si>
  <si>
    <t>TO-220-5</t>
  </si>
  <si>
    <t>17-PowerWFQFN</t>
  </si>
  <si>
    <t>SMCJ33CA</t>
  </si>
  <si>
    <t>53.3V Clamp 28.2A Ipp Tvs Diode Surface Mount DO-214AB (SMCJ)</t>
  </si>
  <si>
    <t>115mA</t>
  </si>
  <si>
    <t>7.5Ohm</t>
  </si>
  <si>
    <t>SOT-23-3</t>
  </si>
  <si>
    <t>2N7002</t>
  </si>
  <si>
    <t>N-Channel 60 V 115mA (Ta) 200mW (Ta) Surface Mount SOT-23-3</t>
  </si>
  <si>
    <t>SX1276 LoRa Module 915MHz RFM95</t>
  </si>
  <si>
    <t>LoRa Transceiver</t>
  </si>
  <si>
    <t>SX1276 RFM95</t>
  </si>
  <si>
    <t>Transceiver</t>
  </si>
  <si>
    <t>NRPN081PAEN-RC</t>
  </si>
  <si>
    <t>2.00mm pitch</t>
  </si>
  <si>
    <t>Connector Header Through Hole 8 position 0.079" (2.00mm)</t>
  </si>
  <si>
    <t>Alcohol Gas Sensor</t>
  </si>
  <si>
    <t>MQ-3B</t>
  </si>
  <si>
    <t>Air Quality Sensor</t>
  </si>
  <si>
    <t>Limit Switch (Thru-Hole)</t>
  </si>
  <si>
    <t>&lt;AliExpress Item&gt;</t>
  </si>
  <si>
    <t>125V</t>
  </si>
  <si>
    <t>https://a.aliexpress.com/_mqu0KvN</t>
  </si>
  <si>
    <t>Limit Switch</t>
  </si>
  <si>
    <t>SPDT Limit Switch Carrier Board</t>
  </si>
  <si>
    <t>Custom part</t>
  </si>
  <si>
    <t>Carrier Board</t>
  </si>
  <si>
    <t>Standoff</t>
  </si>
  <si>
    <t>Female + Male</t>
  </si>
  <si>
    <t>971050474</t>
  </si>
  <si>
    <t>M4 Nut</t>
  </si>
  <si>
    <t>5mm board-board height</t>
  </si>
  <si>
    <t>Hex Standoff Threaded M4 Brass 0.197" (5.00mm) Silver</t>
  </si>
  <si>
    <t>C0603C120J5GACTU</t>
  </si>
  <si>
    <t>12pF</t>
  </si>
  <si>
    <t>AP63301WU-7</t>
  </si>
  <si>
    <t>Buck Switching Regulator IC Positive Adjustable 0.8V 1 Output 3A SOT-23-6 Thin, TSOT-23-6</t>
  </si>
  <si>
    <t>0-35V</t>
  </si>
  <si>
    <t>0.8-31V</t>
  </si>
  <si>
    <t>SOD-23</t>
  </si>
  <si>
    <t>3.8A</t>
  </si>
  <si>
    <t>SRU1038-100Y</t>
  </si>
  <si>
    <t>10 µH Shielded Drum Core, Wirewound Inductor 3.8 A 25mOhm Nonstandard</t>
  </si>
  <si>
    <t>SMD 10 x 10mm</t>
  </si>
  <si>
    <t>90mA</t>
  </si>
  <si>
    <t>30.1k</t>
  </si>
  <si>
    <t>RC0603FR-0730K1L</t>
  </si>
  <si>
    <t>30.1 kOhms ±1% 0.1W, 1/10W Chip Resistor 0603 (1608 Metric) Moisture Resistant Thick Film</t>
  </si>
  <si>
    <t>422k</t>
  </si>
  <si>
    <t>ERJ-3EKF4223V</t>
  </si>
  <si>
    <t>422 kOhms ±1% 0.1W, 1/10W Chip Resistor 0603 (1608 Metric) Automotive AEC-Q200 Thick Film</t>
  </si>
  <si>
    <t>47pF</t>
  </si>
  <si>
    <t>CL10C470JB8NNNC</t>
  </si>
  <si>
    <t>CGA5L3X5R1H106M160AB</t>
  </si>
  <si>
    <t>Spacer</t>
  </si>
  <si>
    <t>https://www.mcmaster.com/94669A006/</t>
  </si>
  <si>
    <t>Len=4mm, OD=6mm, ID=4mm</t>
  </si>
  <si>
    <t>Aluminum Unthreaded Spacer</t>
  </si>
  <si>
    <t>Pogo</t>
  </si>
  <si>
    <t>5358</t>
  </si>
  <si>
    <t>Magnetic Right-Angle Thru-Hole</t>
  </si>
  <si>
    <t>4 Position Spring Piston Connector Panel Mount; Through Hole, Right Angle</t>
  </si>
  <si>
    <t>6.8uH</t>
  </si>
  <si>
    <t>6.9A</t>
  </si>
  <si>
    <t>SMD 8.50 x 8.00mm</t>
  </si>
  <si>
    <t>6.8 µH Shielded Drum Core, Wirewound Inductor 6.9 A 25.85mOhm Max 2-SMD, J-Lead</t>
  </si>
  <si>
    <t>ETQ-P4M6R8KVK</t>
  </si>
  <si>
    <t>158k</t>
  </si>
  <si>
    <t>RC0603FR-07158KL</t>
  </si>
  <si>
    <t>158 kOhms ±1% 0.1W, 1/10W Chip Resistor 0603 (1608 Metric) Moisture Resistant Thick Film</t>
  </si>
  <si>
    <t>MCP2515T-I/SO</t>
  </si>
  <si>
    <t>CANbus Controller CAN 2.0 SPI Interface 18-SOIC</t>
  </si>
  <si>
    <t>CAN-SPI Bridge</t>
  </si>
  <si>
    <t>TJA1050T/CM,118</t>
  </si>
  <si>
    <t>1/1 Transceiver Half CANbus 8-SO</t>
  </si>
  <si>
    <t>CAN FD Front End</t>
  </si>
  <si>
    <t>8MHz</t>
  </si>
  <si>
    <t>18pF</t>
  </si>
  <si>
    <t>ABM3-8.000MHZ-D2Y-T</t>
  </si>
  <si>
    <t>8 MHz ±20ppm Crystal 18pF 140 Ohms 2-SMD, No Lead</t>
  </si>
  <si>
    <t>WCS1600</t>
  </si>
  <si>
    <t>Series / Purpose</t>
  </si>
  <si>
    <t>Current Monitor</t>
  </si>
  <si>
    <t>Hall Effect</t>
  </si>
  <si>
    <t>https://www.winson.com.tw/uploads/images/WCS1600.pdf</t>
  </si>
  <si>
    <t>Bridge (UART-RS485)</t>
  </si>
  <si>
    <t>THVD1400DR</t>
  </si>
  <si>
    <t>1/1 Transceiver Half RS422, RS485 8-SOIC</t>
  </si>
  <si>
    <t>7,12V</t>
  </si>
  <si>
    <t>400W</t>
  </si>
  <si>
    <t>CDSOT23-SM712</t>
  </si>
  <si>
    <t>26V, 14V Clamp 17A (8/20µs) Ipp Tvs Diode Surface Mount SOT-23-3</t>
  </si>
  <si>
    <t>Tube</t>
  </si>
  <si>
    <t>2mL 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</si>
</sst>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0" fontId="0" fillId="0" borderId="0" xfId="0" quotePrefix="1"/>
    <xf numFmtId="9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49" fontId="0" fillId="3" borderId="0" xfId="0" applyNumberFormat="1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0" borderId="0" xfId="0" applyNumberFormat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79"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rgb="FF7030A0"/>
        </patternFill>
      </fill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rgb="FF92D050"/>
        </patternFill>
      </fill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30" formatCode="@"/>
      <alignment horizontal="left" vertical="bottom" textRotation="0" indent="0" justifyLastLine="0" shrinkToFit="0" readingOrder="0"/>
    </dxf>
    <dxf>
      <numFmt numFmtId="30" formatCode="@"/>
      <alignment horizontal="left" vertical="bottom" textRotation="0" indent="0" justifyLastLine="0" shrinkToFit="0" readingOrder="0"/>
    </dxf>
    <dxf>
      <numFmt numFmtId="30" formatCode="@"/>
      <alignment horizontal="left" vertical="bottom" textRotation="0" indent="0" justifyLastLine="0" shrinkToFit="0" readingOrder="0"/>
    </dxf>
    <dxf>
      <numFmt numFmtId="30" formatCode="@"/>
      <alignment horizontal="left" vertical="bottom" textRotation="0" indent="0" justifyLastLine="0" shrinkToFit="0" readingOrder="0"/>
    </dxf>
    <dxf>
      <numFmt numFmtId="30" formatCode="@"/>
      <alignment horizontal="left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</dxf>
    <dxf>
      <numFmt numFmtId="0" formatCode="General"/>
      <alignment horizontal="left" vertical="bottom" textRotation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left" vertical="bottom" textRotation="0" indent="0" justifyLastLine="0" shrinkToFit="0" readingOrder="0"/>
    </dxf>
    <dxf>
      <numFmt numFmtId="30" formatCode="@"/>
      <fill>
        <patternFill patternType="solid">
          <fgColor indexed="64"/>
          <bgColor rgb="FFC00000"/>
        </patternFill>
      </fill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extLst>
        <ext xmlns:xfpb="http://schemas.microsoft.com/office/spreadsheetml/2022/featurepropertybag" uri="{0417FA29-78FA-4A13-93AC-8FF0FAFDF519}">
          <xfpb:DXFComplement i="1"/>
        </ext>
      </extLst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3" tint="0.249977111117893"/>
        </patternFill>
      </fill>
    </dxf>
    <dxf>
      <numFmt numFmtId="30" formatCode="@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8" tint="0.39997558519241921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extLst>
        <ext xmlns:xfpb="http://schemas.microsoft.com/office/spreadsheetml/2022/featurepropertybag" uri="{0417FA29-78FA-4A13-93AC-8FF0FAFDF519}">
          <xfpb:DXFComplement i="0"/>
        </ext>
      </extLst>
    </dxf>
    <dxf>
      <numFmt numFmtId="30" formatCode="@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  <extLst>
        <ext xmlns:xfpb="http://schemas.microsoft.com/office/spreadsheetml/2022/featurepropertybag" uri="{0417FA29-78FA-4A13-93AC-8FF0FAFDF519}">
          <xfpb:DXFComplement i="0"/>
        </ext>
      </extLs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XFControls"/>
  <bag type="XFComplement">
    <bagId k="XFControls">4</bagId>
  </bag>
  <bag type="DXFComplements" extRef="DXFComplementsMapperExtRef">
    <a k="MappedFeaturePropertyBags">
      <bagId>2</bagId>
      <bagId>5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640DDE-A600-4D40-886A-D93F6DB5FAB3}" name="Capacitors" displayName="Capacitors" ref="A1:I49" totalsRowShown="0">
  <autoFilter ref="A1:I49" xr:uid="{66640DDE-A600-4D40-886A-D93F6DB5FAB3}"/>
  <tableColumns count="9">
    <tableColumn id="8" xr3:uid="{B97E7FE0-D68A-4659-9DE5-965B7C74FB58}" name="Added to Altium?" dataDxfId="75"/>
    <tableColumn id="1" xr3:uid="{BDC3005D-8889-49B9-B05B-9B4FB822D92C}" name="Capacitance"/>
    <tableColumn id="2" xr3:uid="{204119AE-0485-4922-A3C8-7CDD048C63F5}" name="Package" dataDxfId="74"/>
    <tableColumn id="3" xr3:uid="{13A5BE24-7E3B-42A7-BB30-CF0EA6F4873D}" name="Max Voltage"/>
    <tableColumn id="4" xr3:uid="{D4BF488D-A80E-4525-A0D1-501D554CEDF7}" name="Tolerance"/>
    <tableColumn id="5" xr3:uid="{08BCE889-36CA-4A02-9976-7D80BAE9681D}" name="Mounting Type" dataDxfId="73"/>
    <tableColumn id="9" xr3:uid="{B82114B5-A4D9-4327-9F80-0D9587A64062}" name="Polarity" dataDxfId="72"/>
    <tableColumn id="6" xr3:uid="{31CBAF16-36EA-4251-9AC8-58F6F46900E9}" name="Material"/>
    <tableColumn id="7" xr3:uid="{571D64FC-0F67-4FD0-B071-89D71A56F7C6}" name="Manufacturer Part Number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90E628-1F8E-4CB3-BC5C-768E76CEFDDC}" name="Connectors" displayName="Connectors" ref="A1:H100" totalsRowShown="0" headerRowDxfId="71">
  <autoFilter ref="A1:H100" xr:uid="{7090E628-1F8E-4CB3-BC5C-768E76CEFDDC}"/>
  <sortState xmlns:xlrd2="http://schemas.microsoft.com/office/spreadsheetml/2017/richdata2" ref="A2:H100">
    <sortCondition ref="B1:B100"/>
  </sortState>
  <tableColumns count="8">
    <tableColumn id="7" xr3:uid="{CE9E315A-1702-4F78-8ECF-1DA1A2B792AA}" name="Added to Altium?" dataDxfId="70"/>
    <tableColumn id="1" xr3:uid="{D5AE5A29-FEF0-4556-97F0-002479587894}" name="Series / Family" dataDxfId="69"/>
    <tableColumn id="2" xr3:uid="{8673F73F-EA18-4F48-837C-C3D933082CD8}" name="# Pins" dataDxfId="68"/>
    <tableColumn id="3" xr3:uid="{F61E1994-58CD-4ECF-A835-1786BECF70C2}" name="Gender (plug/port)" dataDxfId="67"/>
    <tableColumn id="4" xr3:uid="{ADD992CB-74CD-4839-9C1F-4CA1C98DDDE6}" name="Part Number" dataDxfId="66"/>
    <tableColumn id="8" xr3:uid="{0052054B-61D9-4444-933B-4830DE18EF5D}" name="Mating Connector Part Number" dataDxfId="65"/>
    <tableColumn id="9" xr3:uid="{DF57140F-10E9-43CB-BE16-5AB59D2592F7}" name="Notes" dataDxfId="64"/>
    <tableColumn id="5" xr3:uid="{E04857DF-CEB1-4D64-87C3-2580C252E44F}" name="Description" dataDxfId="63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F12269-0E76-48CC-8091-7DF9E8B2B894}" name="XTALs_and_XOSCs" displayName="XTALs_and_XOSCs" ref="A1:G1048575" totalsRowShown="0">
  <autoFilter ref="A1:G1048575" xr:uid="{43F12269-0E76-48CC-8091-7DF9E8B2B894}"/>
  <tableColumns count="7">
    <tableColumn id="7" xr3:uid="{D0EBBD8D-51DB-4E67-899C-2B8142CB6CCB}" name="Added to Altium?"/>
    <tableColumn id="1" xr3:uid="{765BC975-3EE7-469C-9333-E1FCDABB603D}" name="Frequency"/>
    <tableColumn id="2" xr3:uid="{66DD91D2-5F51-49CF-92CF-17CDB97E3CD8}" name="Type"/>
    <tableColumn id="3" xr3:uid="{228CF721-7ED2-425C-9E3B-C355B3C6E7DB}" name="Load Capacitance"/>
    <tableColumn id="4" xr3:uid="{6FE98D61-048E-4E12-88E6-4AC48A05C121}" name="Mounting"/>
    <tableColumn id="5" xr3:uid="{555890C1-885E-49C4-95D7-AF304132940E}" name="Part Number"/>
    <tableColumn id="6" xr3:uid="{1D40F85A-33F1-4FC2-B058-3EAE632B682C}" name="Description"/>
  </tableColumns>
  <tableStyleInfo name="TableStyleMedium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1B69C7-59BA-492E-BEF3-378F8F5A5F42}" name="Diodes" displayName="Diodes" ref="A1:H20" totalsRowShown="0" headerRowDxfId="62">
  <autoFilter ref="A1:H20" xr:uid="{AC1B69C7-59BA-492E-BEF3-378F8F5A5F42}"/>
  <sortState xmlns:xlrd2="http://schemas.microsoft.com/office/spreadsheetml/2017/richdata2" ref="A2:H20">
    <sortCondition ref="B1:B20"/>
  </sortState>
  <tableColumns count="8">
    <tableColumn id="7" xr3:uid="{373BF80E-AE0E-45C8-9A43-A9D96680B6E9}" name="Added to Altium?" dataDxfId="61"/>
    <tableColumn id="1" xr3:uid="{3176E398-8316-4079-97C6-E10CED1CC775}" name="Type"/>
    <tableColumn id="2" xr3:uid="{DFDAC67A-8333-4623-A218-F2BB6C8E25E6}" name="Breakdown voltage"/>
    <tableColumn id="3" xr3:uid="{3A72F6DE-D147-42DD-9C1C-BA3A3545DE11}" name="Max Forward Current"/>
    <tableColumn id="8" xr3:uid="{66B2EB52-5AE2-4548-B193-8FF8FA377575}" name="Max Power"/>
    <tableColumn id="4" xr3:uid="{F22F5C42-5634-4AAD-A267-60DD814F054A}" name="Mount"/>
    <tableColumn id="5" xr3:uid="{181DC390-2120-46F7-9ECA-AEE686154CC2}" name="Part Number"/>
    <tableColumn id="6" xr3:uid="{C0E57478-74C4-4270-9ACE-76D0D4BB0DB3}" name="Description"/>
  </tableColumns>
  <tableStyleInfo name="TableStyleMedium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F6FA6FB-E17E-44DE-A790-4DB35B6C38E6}" name="ICs" displayName="ICs" ref="A1:E50" totalsRowShown="0">
  <autoFilter ref="A1:E50" xr:uid="{CF6FA6FB-E17E-44DE-A790-4DB35B6C38E6}"/>
  <sortState xmlns:xlrd2="http://schemas.microsoft.com/office/spreadsheetml/2017/richdata2" ref="A2:E50">
    <sortCondition ref="B1:B50"/>
  </sortState>
  <tableColumns count="5">
    <tableColumn id="4" xr3:uid="{2DF829CD-290D-41D3-B284-4B22DE33C4AA}" name="Added to Altium?" dataDxfId="60"/>
    <tableColumn id="5" xr3:uid="{0460994E-DB61-407B-B7D3-3CAA8ED4BC9D}" name="Function" dataDxfId="59"/>
    <tableColumn id="6" xr3:uid="{F86F95F1-F9FE-4146-B379-63E1029BD91F}" name="Notes"/>
    <tableColumn id="1" xr3:uid="{B62DE98C-40C5-4F02-871A-56E6F423B932}" name="Part Number"/>
    <tableColumn id="3" xr3:uid="{613F07FA-6CA3-413B-A8EC-C111F4721AB4}" name="Description"/>
  </tableColumns>
  <tableStyleInfo name="TableStyleMedium1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737D88-F4D8-4117-9BA5-1B2CC31DE11A}" name="Devices" displayName="Devices" ref="A1:F50" totalsRowShown="0" headerRowDxfId="78">
  <autoFilter ref="A1:F50" xr:uid="{C5737D88-F4D8-4117-9BA5-1B2CC31DE11A}"/>
  <tableColumns count="6">
    <tableColumn id="7" xr3:uid="{6415E46E-CEE3-460F-B779-529E15CD07B6}" name="Added to Altium?" dataDxfId="77"/>
    <tableColumn id="8" xr3:uid="{A1AE6712-2A25-444F-8418-5CCFC5CDB835}" name="Series / Purpose" dataDxfId="76"/>
    <tableColumn id="9" xr3:uid="{6F530F3C-B40B-43DA-AB86-21341EB4DAD1}" name="Device"/>
    <tableColumn id="1" xr3:uid="{4AA09E23-76BE-4EAC-BAB7-D19DB7FEF15D}" name="Type"/>
    <tableColumn id="5" xr3:uid="{79DDF2A7-4DA6-48DB-8655-801CD7025B51}" name="Part Number"/>
    <tableColumn id="6" xr3:uid="{98E5662B-B2A3-45B4-838E-850C8F451D59}" name="Description"/>
  </tableColumns>
  <tableStyleInfo name="TableStyleMedium2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E7552C4-F486-457F-A2F8-480493B7351C}" name="Table6" displayName="Table6" ref="A1:E11" totalsRowShown="0" headerRowDxfId="58">
  <autoFilter ref="A1:E11" xr:uid="{EE7552C4-F486-457F-A2F8-480493B7351C}"/>
  <tableColumns count="5">
    <tableColumn id="5" xr3:uid="{7A1ACCA6-7C12-421C-A8B0-DAF52C5B82F1}" name="Added to Altium?" dataDxfId="57"/>
    <tableColumn id="1" xr3:uid="{29766E43-A003-4F30-8FBC-98197408FA6D}" name="Part Number" dataDxfId="56"/>
    <tableColumn id="2" xr3:uid="{9E0E83BD-C619-4B71-B8D8-093D6B07D9D5}" name="Package" dataDxfId="55"/>
    <tableColumn id="3" xr3:uid="{6C643D04-D582-419C-9C7F-1B57D4315CFE}" name="Resistance" dataDxfId="54"/>
    <tableColumn id="4" xr3:uid="{67D14711-9F21-4BBC-9182-15BB5F898016}" name="Description" dataDxfId="53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3E52592-BBF3-4884-BA3C-21683DC4F0F1}" name="Fuses" displayName="Fuses" ref="A1:I10" totalsRowShown="0" headerRowDxfId="52">
  <autoFilter ref="A1:I10" xr:uid="{53E52592-BBF3-4884-BA3C-21683DC4F0F1}"/>
  <tableColumns count="9">
    <tableColumn id="7" xr3:uid="{9030A4FE-0A13-4A65-8271-CB2306DED874}" name="Added to Altium?" dataDxfId="51"/>
    <tableColumn id="8" xr3:uid="{7A093B6F-93A8-4A04-9A40-8451BE8854E4}" name="Type" dataDxfId="50"/>
    <tableColumn id="4" xr3:uid="{D6AD8AA5-BC88-4F36-A647-B68EB5308316}" name="Automotive Fuse Size"/>
    <tableColumn id="1" xr3:uid="{5D9981C8-F221-4013-A9BA-4E5BF3474E5D}" name="Trip Current"/>
    <tableColumn id="2" xr3:uid="{494ED5E9-E1DA-4E76-9EAF-806837FCC14C}" name="Package"/>
    <tableColumn id="3" xr3:uid="{7EDCBE59-D502-4146-84D0-ACB598015CAD}" name="Max Voltage"/>
    <tableColumn id="9" xr3:uid="{BF98862C-5E35-4DBE-80C5-A9ECB0D26CD1}" name="Max Current"/>
    <tableColumn id="5" xr3:uid="{9FC9BA3F-0AA8-4AE4-B9F4-9638DD107480}" name="MFR Part Number"/>
    <tableColumn id="6" xr3:uid="{263D9E9D-F699-4823-9F3E-12D298CD432D}" name="Description"/>
  </tableColumns>
  <tableStyleInfo name="TableStyleMedium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788865D-3714-4394-BD76-99FF24EF6888}" name="Inductors" displayName="Inductors" ref="A1:F11" totalsRowShown="0" headerRowDxfId="49">
  <autoFilter ref="A1:F11" xr:uid="{8788865D-3714-4394-BD76-99FF24EF6888}"/>
  <tableColumns count="6">
    <tableColumn id="5" xr3:uid="{67CA846A-F07D-4034-8F63-B4E47CA7F931}" name="Added to Altium?" dataDxfId="48"/>
    <tableColumn id="1" xr3:uid="{EBC427FC-C649-421F-A511-F4C6E090217A}" name="Inductance" dataDxfId="47"/>
    <tableColumn id="6" xr3:uid="{B8135C27-240F-4D83-9F04-23BE8CE5150A}" name="Max Current" dataDxfId="46"/>
    <tableColumn id="2" xr3:uid="{57FAF0ED-182E-4A05-89A5-EE5FE9CF2C31}" name="Package" dataDxfId="45"/>
    <tableColumn id="3" xr3:uid="{5B4ACDCC-FB26-4063-91C8-D6D43ABD7134}" name="Part Number" dataDxfId="44"/>
    <tableColumn id="4" xr3:uid="{CFE06357-AAEA-49E4-8ED8-14478316C7C8}" name="Description" dataDxfId="43"/>
  </tableColumns>
  <tableStyleInfo name="TableStyleMedium1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732A860-4A42-46A7-A5FA-C00091FE4BA3}" name="LEDs" displayName="LEDs" ref="A1:H20" totalsRowShown="0">
  <autoFilter ref="A1:H20" xr:uid="{C732A860-4A42-46A7-A5FA-C00091FE4BA3}"/>
  <tableColumns count="8">
    <tableColumn id="7" xr3:uid="{B2E48D06-BAB0-4133-877E-867AB2EC32E9}" name="Added to Altium?" dataDxfId="42"/>
    <tableColumn id="8" xr3:uid="{22D7B7BF-E3CF-4637-92B5-B74434B0A877}" name="Type" dataDxfId="41"/>
    <tableColumn id="1" xr3:uid="{727DF6C0-6BC9-4CBC-ACBD-F7D7801F3DED}" name="Color"/>
    <tableColumn id="6" xr3:uid="{2F89F121-2031-4E76-8B64-C6BE1AC4E5A7}" name="Mount Type"/>
    <tableColumn id="2" xr3:uid="{59EEDA5E-A95B-4620-BC5E-79C5C5FB8AFC}" name="Package" dataDxfId="40"/>
    <tableColumn id="3" xr3:uid="{95A3DF17-FA71-419C-9869-87ACAC774187}" name="Dome"/>
    <tableColumn id="4" xr3:uid="{30ACC022-FAF3-44FA-97E2-DA5C989B54D7}" name="Part Number"/>
    <tableColumn id="5" xr3:uid="{BDED051F-FA40-461B-85BB-40EDC316E70C}" name="Description"/>
  </tableColumns>
  <tableStyleInfo name="TableStyleMedium2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F03BBEA-AE4C-45BB-9CD5-736F7FCCE237}" name="ICs_10" displayName="ICs_10" ref="A1:G10" totalsRowShown="0" headerRowDxfId="39">
  <autoFilter ref="A1:G10" xr:uid="{EF03BBEA-AE4C-45BB-9CD5-736F7FCCE237}"/>
  <tableColumns count="7">
    <tableColumn id="4" xr3:uid="{2AE73037-16FE-4A0E-B4B4-CF3863388825}" name="Added to Altium?" dataDxfId="38"/>
    <tableColumn id="2" xr3:uid="{D4673AC2-9436-437D-9DE0-521034F11263}" name="Memory Organization"/>
    <tableColumn id="6" xr3:uid="{088605FE-5C4A-4A9F-9607-7699E9A0ED47}" name="Total Capacity"/>
    <tableColumn id="7" xr3:uid="{E9CAAB16-100E-4178-A533-7FCE76F08C9F}" name="Interface"/>
    <tableColumn id="8" xr3:uid="{1B40ECAD-7E4F-4936-8EB8-A174AA1D166F}" name="Storage Technology"/>
    <tableColumn id="1" xr3:uid="{17E1E51F-9816-4C78-B26A-448802891ECB}" name="Part Number"/>
    <tableColumn id="3" xr3:uid="{E791ECFE-A648-44A2-B8E6-CEAD893C7066}" name="Description"/>
  </tableColumns>
  <tableStyleInfo name="TableStyleMedium1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B88261C-6B3D-4539-9169-7D9FC231B64A}" name="Misc" displayName="Misc" ref="A1:D13" totalsRowShown="0">
  <autoFilter ref="A1:D13" xr:uid="{7B88261C-6B3D-4539-9169-7D9FC231B64A}"/>
  <sortState xmlns:xlrd2="http://schemas.microsoft.com/office/spreadsheetml/2017/richdata2" ref="A2:D13">
    <sortCondition ref="B1:B13"/>
  </sortState>
  <tableColumns count="4">
    <tableColumn id="4" xr3:uid="{6C04560D-813B-4E79-B81B-87E653E3F958}" name="Added to Altium?" dataDxfId="37"/>
    <tableColumn id="1" xr3:uid="{07652CF2-D7CA-452D-A87D-CEBA35FEC12A}" name="Function"/>
    <tableColumn id="2" xr3:uid="{A9FCB299-A552-4123-B45A-F31F0DC5BB9B}" name="Part Number"/>
    <tableColumn id="3" xr3:uid="{2F50D30B-F60A-4BAF-AE6D-0A3909047904}" name="Description"/>
  </tableColumns>
  <tableStyleInfo name="TableStyleMedium1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40CA8A6-1C4E-486A-ACF3-77702798EDC5}" name="Mounts_Pads_Vias" displayName="Mounts_Pads_Vias" ref="A1:H11" totalsRowShown="0" headerRowDxfId="36">
  <autoFilter ref="A1:H11" xr:uid="{8788865D-3714-4394-BD76-99FF24EF6888}"/>
  <tableColumns count="8">
    <tableColumn id="5" xr3:uid="{AEAC8F87-1C2D-4AB2-AF57-3B985B9984E8}" name="Added to Altium?" dataDxfId="35"/>
    <tableColumn id="6" xr3:uid="{013363CF-8CB8-438A-8840-8BE5C88DD21A}" name="Type" dataDxfId="34"/>
    <tableColumn id="1" xr3:uid="{D05BE736-0061-4B08-B525-77CB6D52275D}" name="Name" dataDxfId="33"/>
    <tableColumn id="2" xr3:uid="{7A597B79-DB0B-4F42-A26A-5BFC2BE446DB}" name="Shape" dataDxfId="32"/>
    <tableColumn id="3" xr3:uid="{9BE909D1-CB3E-47D8-89BD-A5A9007FC19A}" name="Hole Size (diameter)" dataDxfId="31"/>
    <tableColumn id="8" xr3:uid="{9D59173A-B663-440B-ABB2-B4420C0F2F76}" name="Copper X-Size" dataDxfId="30"/>
    <tableColumn id="7" xr3:uid="{0B466DAF-712F-4EDB-BA0B-281F181D75D1}" name="Copper Y-Size" dataDxfId="29"/>
    <tableColumn id="4" xr3:uid="{63AE9014-61F7-479D-A241-EAA26D52AAA0}" name="Description" dataDxfId="28"/>
  </tableColumns>
  <tableStyleInfo name="TableStyleMedium1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DA4F768-7F47-4563-8367-8C9704917FC2}" name="MCUs" displayName="MCUs" ref="A1:J11" totalsRowShown="0" headerRowDxfId="27" dataDxfId="26">
  <autoFilter ref="A1:J11" xr:uid="{9DA4F768-7F47-4563-8367-8C9704917FC2}"/>
  <sortState xmlns:xlrd2="http://schemas.microsoft.com/office/spreadsheetml/2017/richdata2" ref="A2:J11">
    <sortCondition ref="B1:B11"/>
  </sortState>
  <tableColumns count="10">
    <tableColumn id="7" xr3:uid="{B7904B75-EB47-4AE0-AC16-835BCD406E73}" name="Added to Altium?" dataDxfId="25"/>
    <tableColumn id="1" xr3:uid="{0881C807-AE0D-4E97-942D-F1BB4BC72740}" name="Name" dataDxfId="24"/>
    <tableColumn id="3" xr3:uid="{FF11C1E0-268B-4AB9-A529-8334EF2C69FD}" name="# GPIO" dataDxfId="23"/>
    <tableColumn id="8" xr3:uid="{55162BE7-C291-4B9F-ABE8-A7DE102A5A2F}" name="UART" dataDxfId="22"/>
    <tableColumn id="9" xr3:uid="{12871EC5-67F1-442C-B9F6-E715FA2B13DA}" name="SPI" dataDxfId="21"/>
    <tableColumn id="10" xr3:uid="{0676FDA2-81C4-49A9-A3D1-DEE7F28D8014}" name="I2C" dataDxfId="20"/>
    <tableColumn id="11" xr3:uid="{4D86DECE-60FC-46A0-B57F-AB144D9C1459}" name="PWM" dataDxfId="19"/>
    <tableColumn id="12" xr3:uid="{F498CA82-C855-4B59-BFFB-E076763E2C7B}" name="USB" dataDxfId="18"/>
    <tableColumn id="6" xr3:uid="{1C8B55E3-7B48-484B-9DEC-D60D33855BF8}" name="Part Number" dataDxfId="17"/>
    <tableColumn id="5" xr3:uid="{EB01044E-239A-43EB-B0C2-1F87DDB54160}" name="Description" dataDxfId="16"/>
  </tableColumns>
  <tableStyleInfo name="TableStyleMedium1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E99B236-7512-4792-AE6E-EED4D7BDA003}" name="Resistors" displayName="Resistors" ref="A1:H100" totalsRowShown="0" headerRowDxfId="15" dataDxfId="14">
  <autoFilter ref="A1:H100" xr:uid="{FE99B236-7512-4792-AE6E-EED4D7BDA003}"/>
  <sortState xmlns:xlrd2="http://schemas.microsoft.com/office/spreadsheetml/2017/richdata2" ref="A2:H50">
    <sortCondition ref="C1:C50"/>
  </sortState>
  <tableColumns count="8">
    <tableColumn id="8" xr3:uid="{5CCC4BAB-E9A7-42D2-BFCF-40A14E4FCFB3}" name="Added to Altium?" dataDxfId="13"/>
    <tableColumn id="1" xr3:uid="{E2BB1AD3-36C9-4D80-8A78-E46D0D28B43D}" name="Resistance" dataDxfId="12"/>
    <tableColumn id="7" xr3:uid="{C2F2285A-BFA3-4714-8945-6FE63C9CDE81}" name="Res (Raw)" dataDxfId="11">
      <calculatedColumnFormula>IF(ISNUMBER(B2),
IF(B2=0,"",B2),
VALUE(LEFT(B2,LEN(B2)-1))*
IF(RIGHT(B2,1)="k",1000,
IF(RIGHT(B2,1)="M",1000000,
IF(RIGHT(B2,1)="m",0.001,1))))</calculatedColumnFormula>
    </tableColumn>
    <tableColumn id="2" xr3:uid="{67EED117-D01D-4FE8-BB40-D7D8F55BAB48}" name="Tolerance" dataDxfId="10"/>
    <tableColumn id="3" xr3:uid="{F1269AFE-5CA5-4F00-93B8-6023E945504D}" name="Package" dataDxfId="9"/>
    <tableColumn id="4" xr3:uid="{A4374340-1758-433F-80B6-83ABF6D97E11}" name="Wattage" dataDxfId="8"/>
    <tableColumn id="5" xr3:uid="{7C53E4E9-C23D-4482-9A46-441AB8A4E1B1}" name="Part Number" dataDxfId="7"/>
    <tableColumn id="6" xr3:uid="{BD8216A4-1B75-4738-A589-0D33231AD075}" name="Description" dataDxfId="6"/>
  </tableColumns>
  <tableStyleInfo name="TableStyleMedium1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A8CC69A-B6DA-4750-BA77-538662D89C27}" name="Switches" displayName="Switches" ref="A1:G11" totalsRowShown="0">
  <autoFilter ref="A1:G11" xr:uid="{EA8CC69A-B6DA-4750-BA77-538662D89C27}"/>
  <tableColumns count="7">
    <tableColumn id="7" xr3:uid="{AC77A4FF-3DCF-4737-ACB4-F75821B19F57}" name="Added to Altium?" dataDxfId="5"/>
    <tableColumn id="1" xr3:uid="{C868B851-3D2D-4863-96B3-5412E9A862E1}" name="Function"/>
    <tableColumn id="6" xr3:uid="{D6EA3AC7-CEF9-4E2A-800B-297C8C002273}" name="Circuit"/>
    <tableColumn id="2" xr3:uid="{5048C5E7-258E-4EC2-B0BD-C338C4D84C91}" name="Part Number"/>
    <tableColumn id="3" xr3:uid="{0D337D86-0859-4D90-9F43-C064034FE63F}" name="Max current"/>
    <tableColumn id="4" xr3:uid="{2AC9D317-AD0F-4B1A-AC45-E47C43700174}" name="Max voltage"/>
    <tableColumn id="5" xr3:uid="{7E9A2315-9AC6-4F51-9601-06AC033BD76D}" name="Description"/>
  </tableColumns>
  <tableStyleInfo name="TableStyleMedium16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800FF98-41EA-493F-A089-14FECFF39D7A}" name="Test_Points" displayName="Test_Points" ref="A1:F11" totalsRowShown="0" headerRowDxfId="4">
  <autoFilter ref="A1:F11" xr:uid="{EA8CC69A-B6DA-4750-BA77-538662D89C27}"/>
  <tableColumns count="6">
    <tableColumn id="7" xr3:uid="{5FA1F5D0-B5EA-4DAB-B07A-643BF29E8565}" name="Added to Altium?" dataDxfId="3"/>
    <tableColumn id="1" xr3:uid="{CC1FCF46-8E52-4166-BC69-286FE8778BAA}" name="Mounting Type"/>
    <tableColumn id="3" xr3:uid="{25F97020-E67A-4F9F-99D3-71374E9FAEC5}" name="# of pads/points"/>
    <tableColumn id="6" xr3:uid="{6395E911-E7EB-4DC7-B232-C23AAD6F19AF}" name="Series"/>
    <tableColumn id="2" xr3:uid="{54277133-CDEB-4896-A3F4-4D5041C953E2}" name="Part Number"/>
    <tableColumn id="5" xr3:uid="{4F0522B7-C539-49F6-9D19-B7E8FC517D29}" name="Description"/>
  </tableColumns>
  <tableStyleInfo name="TableStyleMedium16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61C41B4-4EE2-4BF0-B2F3-2F2A51D3792A}" name="Transistors" displayName="Transistors" ref="A1:I40" totalsRowShown="0" headerRowDxfId="2">
  <autoFilter ref="A1:I40" xr:uid="{EA8CC69A-B6DA-4750-BA77-538662D89C27}"/>
  <tableColumns count="9">
    <tableColumn id="7" xr3:uid="{3A0D6614-B80A-4184-9ADE-5206B38A06E5}" name="Added to Altium?" dataDxfId="1"/>
    <tableColumn id="1" xr3:uid="{05D09AC3-5445-495F-8B8E-1C98473F2758}" name="Technology"/>
    <tableColumn id="6" xr3:uid="{F919A207-76D0-435F-BB24-020D391F6DB9}" name="Configuration"/>
    <tableColumn id="8" xr3:uid="{4CC17C6A-1F84-408C-8AAD-69C3E5F234CA}" name="V_DS MAX"/>
    <tableColumn id="9" xr3:uid="{FA22E62F-7E13-4041-BB66-67939E85474C}" name="I_DS MAX"/>
    <tableColumn id="3" xr3:uid="{5E7CA287-64BF-4DA0-8B81-CC0B60DF8DC3}" name="R_DS ON"/>
    <tableColumn id="10" xr3:uid="{79074C68-5379-4ED9-8417-71FC69EB72D5}" name="Footprint"/>
    <tableColumn id="2" xr3:uid="{AAEE8F7E-F03A-40F6-9712-841D9CE7A202}" name="Part Number"/>
    <tableColumn id="5" xr3:uid="{DEB8C3AD-DE50-4BCC-ACE8-43D3498711DF}" name="Description"/>
  </tableColumns>
  <tableStyleInfo name="TableStyleMedium1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2CFED5E-627B-4A23-9BFA-C489CEA32F25}" name="Voltage_Regulators" displayName="Voltage_Regulators" ref="A1:J30" totalsRowShown="0">
  <autoFilter ref="A1:J30" xr:uid="{82CFED5E-627B-4A23-9BFA-C489CEA32F25}"/>
  <sortState xmlns:xlrd2="http://schemas.microsoft.com/office/spreadsheetml/2017/richdata2" ref="A2:J12">
    <sortCondition ref="B1:B12"/>
  </sortState>
  <tableColumns count="10">
    <tableColumn id="3" xr3:uid="{DD7A1A9A-DE5A-4766-9947-A308E87BA7FD}" name="Added to Altium?" dataDxfId="0"/>
    <tableColumn id="1" xr3:uid="{7B7659A2-8D22-4954-B10E-C811D8D29B99}" name="Type"/>
    <tableColumn id="7" xr3:uid="{24DD5DAD-1853-4138-AB66-BA5667E60D26}" name="Operation"/>
    <tableColumn id="8" xr3:uid="{C0E1C407-BC33-4018-B09E-15A16329D7C6}" name="Input Voltage"/>
    <tableColumn id="2" xr3:uid="{1B401263-31AB-4380-A4FD-B256C750FA0B}" name="Output Voltage"/>
    <tableColumn id="4" xr3:uid="{5B3C6EDD-81A6-41AD-B149-C2BF3585E802}" name="Max output current"/>
    <tableColumn id="10" xr3:uid="{6CD35AD7-D590-49B2-B0F8-29D64F621F32}" name="Mount Type"/>
    <tableColumn id="9" xr3:uid="{3BAFA6E9-3767-49E8-A1C5-9C1E8B6EE0D4}" name="Package"/>
    <tableColumn id="6" xr3:uid="{B16EED48-4D3D-4D5C-88EC-B23C579A8E2D}" name="Part Number"/>
    <tableColumn id="5" xr3:uid="{58F36E9E-E2F2-4DE5-B2DC-96C9F966EEF9}" name="Description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C0DF8-5BF3-479E-80E4-3D5C9FD854ED}">
  <sheetPr>
    <tabColor rgb="FF00B050"/>
  </sheetPr>
  <dimension ref="A1:D15"/>
  <sheetViews>
    <sheetView workbookViewId="0">
      <selection activeCell="A13" sqref="A13"/>
    </sheetView>
  </sheetViews>
  <sheetFormatPr defaultRowHeight="14.5" x14ac:dyDescent="0.35"/>
  <sheetData>
    <row r="1" spans="1:4" x14ac:dyDescent="0.35">
      <c r="A1" t="s">
        <v>176</v>
      </c>
    </row>
    <row r="2" spans="1:4" x14ac:dyDescent="0.35">
      <c r="A2" t="s">
        <v>177</v>
      </c>
    </row>
    <row r="3" spans="1:4" x14ac:dyDescent="0.35">
      <c r="A3" t="s">
        <v>188</v>
      </c>
      <c r="D3" t="s">
        <v>195</v>
      </c>
    </row>
    <row r="4" spans="1:4" x14ac:dyDescent="0.35">
      <c r="A4" t="s">
        <v>186</v>
      </c>
    </row>
    <row r="5" spans="1:4" x14ac:dyDescent="0.35">
      <c r="A5" t="s">
        <v>178</v>
      </c>
      <c r="D5" t="s">
        <v>196</v>
      </c>
    </row>
    <row r="6" spans="1:4" x14ac:dyDescent="0.35">
      <c r="A6" t="s">
        <v>189</v>
      </c>
    </row>
    <row r="7" spans="1:4" x14ac:dyDescent="0.35">
      <c r="A7" t="s">
        <v>187</v>
      </c>
    </row>
    <row r="8" spans="1:4" x14ac:dyDescent="0.35">
      <c r="A8" t="s">
        <v>182</v>
      </c>
    </row>
    <row r="9" spans="1:4" x14ac:dyDescent="0.35">
      <c r="A9" t="s">
        <v>181</v>
      </c>
    </row>
    <row r="10" spans="1:4" x14ac:dyDescent="0.35">
      <c r="A10" t="s">
        <v>184</v>
      </c>
    </row>
    <row r="11" spans="1:4" x14ac:dyDescent="0.35">
      <c r="A11" t="s">
        <v>185</v>
      </c>
    </row>
    <row r="12" spans="1:4" x14ac:dyDescent="0.35">
      <c r="A12" t="s">
        <v>230</v>
      </c>
    </row>
    <row r="13" spans="1:4" x14ac:dyDescent="0.35">
      <c r="A13" t="s">
        <v>179</v>
      </c>
    </row>
    <row r="14" spans="1:4" x14ac:dyDescent="0.35">
      <c r="A14" t="s">
        <v>180</v>
      </c>
    </row>
    <row r="15" spans="1:4" x14ac:dyDescent="0.35">
      <c r="A15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DDF4D-1E9D-4C12-BB94-6E06CEFC760F}">
  <dimension ref="A1:I50"/>
  <sheetViews>
    <sheetView topLeftCell="B11" zoomScale="110" workbookViewId="0">
      <selection activeCell="I32" sqref="I32"/>
    </sheetView>
  </sheetViews>
  <sheetFormatPr defaultColWidth="0" defaultRowHeight="14.5" zeroHeight="1" x14ac:dyDescent="0.35"/>
  <cols>
    <col min="1" max="1" width="17.26953125" customWidth="1"/>
    <col min="2" max="2" width="14.36328125" customWidth="1"/>
    <col min="3" max="3" width="14.36328125" style="3" customWidth="1"/>
    <col min="4" max="4" width="14.08984375" customWidth="1"/>
    <col min="5" max="5" width="11.1796875" customWidth="1"/>
    <col min="6" max="7" width="15" style="3" customWidth="1"/>
    <col min="8" max="8" width="9.81640625" customWidth="1"/>
    <col min="9" max="9" width="26.90625" customWidth="1"/>
    <col min="10" max="16384" width="8.7265625" hidden="1"/>
  </cols>
  <sheetData>
    <row r="1" spans="1:9" x14ac:dyDescent="0.35">
      <c r="A1" t="s">
        <v>197</v>
      </c>
      <c r="B1" s="1" t="s">
        <v>0</v>
      </c>
      <c r="C1" s="2" t="s">
        <v>3</v>
      </c>
      <c r="D1" s="1" t="s">
        <v>1</v>
      </c>
      <c r="E1" s="1" t="s">
        <v>49</v>
      </c>
      <c r="F1" s="2" t="s">
        <v>190</v>
      </c>
      <c r="G1" s="2" t="s">
        <v>200</v>
      </c>
      <c r="H1" s="1" t="s">
        <v>4</v>
      </c>
      <c r="I1" s="1" t="s">
        <v>7</v>
      </c>
    </row>
    <row r="2" spans="1:9" x14ac:dyDescent="0.35">
      <c r="A2" s="9" t="b">
        <v>1</v>
      </c>
      <c r="B2" t="s">
        <v>5</v>
      </c>
      <c r="C2" s="3" t="s">
        <v>8</v>
      </c>
      <c r="D2" t="s">
        <v>106</v>
      </c>
      <c r="E2" s="5">
        <v>0.1</v>
      </c>
      <c r="F2" s="3" t="s">
        <v>103</v>
      </c>
      <c r="G2" s="3" t="s">
        <v>198</v>
      </c>
      <c r="H2" t="s">
        <v>9</v>
      </c>
      <c r="I2" t="s">
        <v>590</v>
      </c>
    </row>
    <row r="3" spans="1:9" x14ac:dyDescent="0.35">
      <c r="A3" s="9" t="b">
        <v>1</v>
      </c>
      <c r="B3" t="s">
        <v>13</v>
      </c>
      <c r="C3" s="3" t="s">
        <v>8</v>
      </c>
      <c r="D3" t="s">
        <v>14</v>
      </c>
      <c r="E3" s="5">
        <v>0.01</v>
      </c>
      <c r="F3" s="3" t="s">
        <v>103</v>
      </c>
      <c r="G3" s="3" t="s">
        <v>198</v>
      </c>
      <c r="H3" t="s">
        <v>9</v>
      </c>
      <c r="I3" t="s">
        <v>12</v>
      </c>
    </row>
    <row r="4" spans="1:9" x14ac:dyDescent="0.35">
      <c r="A4" s="9" t="b">
        <v>1</v>
      </c>
      <c r="B4" t="s">
        <v>16</v>
      </c>
      <c r="C4" s="3" t="s">
        <v>8</v>
      </c>
      <c r="D4" t="s">
        <v>17</v>
      </c>
      <c r="E4" s="5">
        <v>0.1</v>
      </c>
      <c r="F4" s="3" t="s">
        <v>103</v>
      </c>
      <c r="G4" s="3" t="s">
        <v>198</v>
      </c>
      <c r="H4" t="s">
        <v>9</v>
      </c>
      <c r="I4" t="s">
        <v>15</v>
      </c>
    </row>
    <row r="5" spans="1:9" x14ac:dyDescent="0.35">
      <c r="A5" s="9" t="b">
        <v>1</v>
      </c>
      <c r="B5" t="s">
        <v>5</v>
      </c>
      <c r="C5" s="3" t="s">
        <v>23</v>
      </c>
      <c r="D5" t="s">
        <v>106</v>
      </c>
      <c r="E5" s="5">
        <v>0.1</v>
      </c>
      <c r="F5" s="3" t="s">
        <v>103</v>
      </c>
      <c r="G5" s="3" t="s">
        <v>198</v>
      </c>
      <c r="H5" t="s">
        <v>9</v>
      </c>
      <c r="I5" t="s">
        <v>108</v>
      </c>
    </row>
    <row r="6" spans="1:9" x14ac:dyDescent="0.35">
      <c r="A6" s="9" t="b">
        <v>1</v>
      </c>
      <c r="B6" t="s">
        <v>105</v>
      </c>
      <c r="C6" s="3" t="s">
        <v>23</v>
      </c>
      <c r="D6" t="s">
        <v>106</v>
      </c>
      <c r="E6" s="5">
        <v>0.1</v>
      </c>
      <c r="F6" s="3" t="s">
        <v>103</v>
      </c>
      <c r="G6" s="3" t="s">
        <v>198</v>
      </c>
      <c r="H6" t="s">
        <v>9</v>
      </c>
      <c r="I6" t="s">
        <v>107</v>
      </c>
    </row>
    <row r="7" spans="1:9" x14ac:dyDescent="0.35">
      <c r="A7" s="9" t="b">
        <v>1</v>
      </c>
      <c r="B7" t="s">
        <v>16</v>
      </c>
      <c r="C7" s="3" t="s">
        <v>23</v>
      </c>
      <c r="D7" t="s">
        <v>106</v>
      </c>
      <c r="E7" s="5">
        <v>0.1</v>
      </c>
      <c r="F7" s="3" t="s">
        <v>103</v>
      </c>
      <c r="G7" s="3" t="s">
        <v>198</v>
      </c>
      <c r="H7" t="s">
        <v>9</v>
      </c>
      <c r="I7" t="s">
        <v>113</v>
      </c>
    </row>
    <row r="8" spans="1:9" x14ac:dyDescent="0.35">
      <c r="A8" s="9" t="b">
        <v>1</v>
      </c>
      <c r="B8" t="s">
        <v>109</v>
      </c>
      <c r="C8" s="3" t="s">
        <v>111</v>
      </c>
      <c r="D8" t="s">
        <v>11</v>
      </c>
      <c r="E8" s="5">
        <v>0.2</v>
      </c>
      <c r="F8" s="3" t="s">
        <v>103</v>
      </c>
      <c r="G8" s="3" t="s">
        <v>199</v>
      </c>
      <c r="H8" t="s">
        <v>112</v>
      </c>
      <c r="I8" t="s">
        <v>110</v>
      </c>
    </row>
    <row r="9" spans="1:9" x14ac:dyDescent="0.35">
      <c r="A9" s="9" t="b">
        <v>1</v>
      </c>
      <c r="B9" t="s">
        <v>293</v>
      </c>
      <c r="C9" s="3" t="s">
        <v>125</v>
      </c>
      <c r="D9" t="s">
        <v>106</v>
      </c>
      <c r="E9" s="5">
        <v>0.1</v>
      </c>
      <c r="F9" s="3" t="s">
        <v>125</v>
      </c>
      <c r="G9" s="3" t="s">
        <v>198</v>
      </c>
      <c r="H9" t="s">
        <v>9</v>
      </c>
      <c r="I9" t="s">
        <v>292</v>
      </c>
    </row>
    <row r="10" spans="1:9" x14ac:dyDescent="0.35">
      <c r="A10" s="9" t="b">
        <v>1</v>
      </c>
      <c r="B10" t="s">
        <v>319</v>
      </c>
      <c r="C10" s="3" t="s">
        <v>8</v>
      </c>
      <c r="D10" t="s">
        <v>106</v>
      </c>
      <c r="E10" s="5">
        <v>0.05</v>
      </c>
      <c r="F10" s="3" t="s">
        <v>103</v>
      </c>
      <c r="G10" s="3" t="s">
        <v>198</v>
      </c>
      <c r="H10" t="s">
        <v>9</v>
      </c>
      <c r="I10" t="s">
        <v>318</v>
      </c>
    </row>
    <row r="11" spans="1:9" x14ac:dyDescent="0.35">
      <c r="A11" s="9" t="b">
        <v>1</v>
      </c>
      <c r="B11" t="s">
        <v>342</v>
      </c>
      <c r="C11" s="3" t="s">
        <v>125</v>
      </c>
      <c r="D11" t="s">
        <v>343</v>
      </c>
      <c r="E11" s="5">
        <v>0.2</v>
      </c>
      <c r="F11" s="3" t="s">
        <v>125</v>
      </c>
      <c r="G11" s="3" t="s">
        <v>199</v>
      </c>
      <c r="H11" t="s">
        <v>112</v>
      </c>
      <c r="I11" t="s">
        <v>344</v>
      </c>
    </row>
    <row r="12" spans="1:9" x14ac:dyDescent="0.35">
      <c r="A12" s="9" t="b">
        <v>1</v>
      </c>
      <c r="B12" t="s">
        <v>10</v>
      </c>
      <c r="C12" s="3" t="s">
        <v>8</v>
      </c>
      <c r="D12" t="s">
        <v>6</v>
      </c>
      <c r="E12" s="5">
        <v>0.2</v>
      </c>
      <c r="F12" s="3" t="s">
        <v>103</v>
      </c>
      <c r="G12" s="3" t="s">
        <v>198</v>
      </c>
      <c r="H12" t="s">
        <v>9</v>
      </c>
      <c r="I12" t="s">
        <v>375</v>
      </c>
    </row>
    <row r="13" spans="1:9" x14ac:dyDescent="0.35">
      <c r="A13" s="9" t="b">
        <v>1</v>
      </c>
      <c r="B13" t="s">
        <v>399</v>
      </c>
      <c r="C13" s="3" t="s">
        <v>8</v>
      </c>
      <c r="D13" t="s">
        <v>106</v>
      </c>
      <c r="E13" s="5">
        <v>0.01</v>
      </c>
      <c r="F13" s="3" t="s">
        <v>103</v>
      </c>
      <c r="G13" s="3" t="s">
        <v>198</v>
      </c>
      <c r="H13" t="s">
        <v>9</v>
      </c>
      <c r="I13" t="s">
        <v>400</v>
      </c>
    </row>
    <row r="14" spans="1:9" x14ac:dyDescent="0.35">
      <c r="A14" s="9" t="b">
        <v>1</v>
      </c>
      <c r="B14" t="s">
        <v>423</v>
      </c>
      <c r="C14" s="3" t="s">
        <v>125</v>
      </c>
      <c r="D14" t="s">
        <v>106</v>
      </c>
      <c r="E14" s="5">
        <v>0.2</v>
      </c>
      <c r="F14" s="3" t="s">
        <v>125</v>
      </c>
      <c r="G14" s="3" t="s">
        <v>198</v>
      </c>
      <c r="H14" t="s">
        <v>9</v>
      </c>
      <c r="I14" t="s">
        <v>424</v>
      </c>
    </row>
    <row r="15" spans="1:9" x14ac:dyDescent="0.35">
      <c r="A15" s="9" t="b">
        <v>1</v>
      </c>
      <c r="B15" t="s">
        <v>427</v>
      </c>
      <c r="C15" s="3" t="s">
        <v>125</v>
      </c>
      <c r="D15" t="s">
        <v>343</v>
      </c>
      <c r="E15" s="5">
        <v>0.2</v>
      </c>
      <c r="F15" s="3" t="s">
        <v>125</v>
      </c>
      <c r="G15" s="3" t="s">
        <v>199</v>
      </c>
      <c r="H15" t="s">
        <v>112</v>
      </c>
      <c r="I15" t="s">
        <v>428</v>
      </c>
    </row>
    <row r="16" spans="1:9" x14ac:dyDescent="0.35">
      <c r="A16" s="9" t="b">
        <v>1</v>
      </c>
      <c r="B16" t="s">
        <v>5</v>
      </c>
      <c r="C16" s="3" t="s">
        <v>125</v>
      </c>
      <c r="D16" t="s">
        <v>106</v>
      </c>
      <c r="E16" s="5">
        <v>0.1</v>
      </c>
      <c r="F16" s="3" t="s">
        <v>125</v>
      </c>
      <c r="G16" s="3" t="s">
        <v>198</v>
      </c>
      <c r="H16" t="s">
        <v>9</v>
      </c>
      <c r="I16" t="s">
        <v>429</v>
      </c>
    </row>
    <row r="17" spans="1:9" x14ac:dyDescent="0.35">
      <c r="A17" s="9" t="b">
        <v>1</v>
      </c>
      <c r="B17" t="s">
        <v>10</v>
      </c>
      <c r="C17" s="3" t="s">
        <v>125</v>
      </c>
      <c r="D17" t="s">
        <v>430</v>
      </c>
      <c r="E17" s="5">
        <v>0.2</v>
      </c>
      <c r="F17" s="3" t="s">
        <v>125</v>
      </c>
      <c r="G17" s="3" t="s">
        <v>199</v>
      </c>
      <c r="H17" t="s">
        <v>112</v>
      </c>
      <c r="I17" t="s">
        <v>431</v>
      </c>
    </row>
    <row r="18" spans="1:9" x14ac:dyDescent="0.35">
      <c r="A18" s="9" t="b">
        <v>1</v>
      </c>
      <c r="B18" t="s">
        <v>456</v>
      </c>
      <c r="C18" s="3" t="s">
        <v>8</v>
      </c>
      <c r="D18" t="s">
        <v>106</v>
      </c>
      <c r="E18" s="5">
        <v>0.05</v>
      </c>
      <c r="F18" s="3" t="s">
        <v>103</v>
      </c>
      <c r="G18" s="3" t="s">
        <v>198</v>
      </c>
      <c r="H18" t="s">
        <v>9</v>
      </c>
      <c r="I18" t="s">
        <v>457</v>
      </c>
    </row>
    <row r="19" spans="1:9" x14ac:dyDescent="0.35">
      <c r="A19" s="9" t="b">
        <v>1</v>
      </c>
      <c r="B19" t="s">
        <v>293</v>
      </c>
      <c r="C19" s="3" t="s">
        <v>8</v>
      </c>
      <c r="D19" t="s">
        <v>17</v>
      </c>
      <c r="E19" s="5">
        <v>0.1</v>
      </c>
      <c r="F19" s="3" t="s">
        <v>103</v>
      </c>
      <c r="G19" s="3" t="s">
        <v>198</v>
      </c>
      <c r="H19" t="s">
        <v>9</v>
      </c>
      <c r="I19" t="s">
        <v>503</v>
      </c>
    </row>
    <row r="20" spans="1:9" x14ac:dyDescent="0.35">
      <c r="A20" s="9" t="b">
        <v>1</v>
      </c>
      <c r="B20" t="s">
        <v>504</v>
      </c>
      <c r="C20" s="3" t="s">
        <v>8</v>
      </c>
      <c r="D20" t="s">
        <v>106</v>
      </c>
      <c r="E20" s="5">
        <v>0.05</v>
      </c>
      <c r="F20" s="3" t="s">
        <v>103</v>
      </c>
      <c r="G20" s="3" t="s">
        <v>198</v>
      </c>
      <c r="H20" t="s">
        <v>9</v>
      </c>
      <c r="I20" t="s">
        <v>505</v>
      </c>
    </row>
    <row r="21" spans="1:9" x14ac:dyDescent="0.35">
      <c r="A21" s="9" t="b">
        <v>1</v>
      </c>
      <c r="B21" t="s">
        <v>506</v>
      </c>
      <c r="C21" s="3" t="s">
        <v>8</v>
      </c>
      <c r="D21" t="s">
        <v>106</v>
      </c>
      <c r="E21" s="5">
        <v>0.1</v>
      </c>
      <c r="F21" s="3" t="s">
        <v>103</v>
      </c>
      <c r="G21" s="3" t="s">
        <v>198</v>
      </c>
      <c r="H21" t="s">
        <v>9</v>
      </c>
      <c r="I21" t="s">
        <v>517</v>
      </c>
    </row>
    <row r="22" spans="1:9" x14ac:dyDescent="0.35">
      <c r="A22" s="9" t="b">
        <v>1</v>
      </c>
      <c r="B22" t="s">
        <v>515</v>
      </c>
      <c r="C22" s="3" t="s">
        <v>8</v>
      </c>
      <c r="D22" t="s">
        <v>106</v>
      </c>
      <c r="E22" s="5">
        <v>0.1</v>
      </c>
      <c r="F22" s="3" t="s">
        <v>103</v>
      </c>
      <c r="G22" s="3" t="s">
        <v>198</v>
      </c>
      <c r="H22" t="s">
        <v>9</v>
      </c>
      <c r="I22" t="s">
        <v>516</v>
      </c>
    </row>
    <row r="23" spans="1:9" x14ac:dyDescent="0.35">
      <c r="A23" s="9" t="b">
        <v>1</v>
      </c>
      <c r="B23" t="s">
        <v>109</v>
      </c>
      <c r="C23" s="3" t="s">
        <v>550</v>
      </c>
      <c r="D23" t="s">
        <v>343</v>
      </c>
      <c r="E23" s="5">
        <v>0.2</v>
      </c>
      <c r="F23" s="3" t="s">
        <v>103</v>
      </c>
      <c r="G23" s="3" t="s">
        <v>199</v>
      </c>
      <c r="H23" t="s">
        <v>112</v>
      </c>
      <c r="I23" t="s">
        <v>551</v>
      </c>
    </row>
    <row r="24" spans="1:9" x14ac:dyDescent="0.35">
      <c r="A24" s="9" t="b">
        <v>1</v>
      </c>
      <c r="B24" t="s">
        <v>559</v>
      </c>
      <c r="C24" s="3" t="s">
        <v>23</v>
      </c>
      <c r="D24" t="s">
        <v>17</v>
      </c>
      <c r="E24" s="5">
        <v>0.2</v>
      </c>
      <c r="F24" s="3" t="s">
        <v>103</v>
      </c>
      <c r="G24" s="3" t="s">
        <v>198</v>
      </c>
      <c r="H24" t="s">
        <v>9</v>
      </c>
      <c r="I24" t="s">
        <v>560</v>
      </c>
    </row>
    <row r="25" spans="1:9" x14ac:dyDescent="0.35">
      <c r="A25" s="9" t="b">
        <v>1</v>
      </c>
      <c r="B25" t="s">
        <v>105</v>
      </c>
      <c r="C25" s="3" t="s">
        <v>8</v>
      </c>
      <c r="D25" t="s">
        <v>17</v>
      </c>
      <c r="E25" s="5">
        <v>0.1</v>
      </c>
      <c r="F25" s="3" t="s">
        <v>103</v>
      </c>
      <c r="G25" s="3" t="s">
        <v>198</v>
      </c>
      <c r="H25" t="s">
        <v>9</v>
      </c>
      <c r="I25" t="s">
        <v>574</v>
      </c>
    </row>
    <row r="26" spans="1:9" x14ac:dyDescent="0.35">
      <c r="A26" s="9" t="b">
        <v>1</v>
      </c>
      <c r="B26" t="s">
        <v>620</v>
      </c>
      <c r="C26" s="3" t="s">
        <v>8</v>
      </c>
      <c r="D26" t="s">
        <v>106</v>
      </c>
      <c r="E26" s="5">
        <v>0.1</v>
      </c>
      <c r="F26" s="3" t="s">
        <v>103</v>
      </c>
      <c r="G26" s="3" t="s">
        <v>198</v>
      </c>
      <c r="H26" t="s">
        <v>9</v>
      </c>
      <c r="I26" t="s">
        <v>621</v>
      </c>
    </row>
    <row r="27" spans="1:9" x14ac:dyDescent="0.35">
      <c r="A27" s="9" t="b">
        <v>1</v>
      </c>
      <c r="B27" t="s">
        <v>653</v>
      </c>
      <c r="C27" s="3" t="s">
        <v>550</v>
      </c>
      <c r="D27" t="s">
        <v>343</v>
      </c>
      <c r="E27" s="5">
        <v>0.2</v>
      </c>
      <c r="F27" s="3" t="s">
        <v>103</v>
      </c>
      <c r="G27" s="3" t="s">
        <v>199</v>
      </c>
      <c r="H27" t="s">
        <v>112</v>
      </c>
      <c r="I27" t="s">
        <v>654</v>
      </c>
    </row>
    <row r="28" spans="1:9" x14ac:dyDescent="0.35">
      <c r="A28" s="9" t="b">
        <v>1</v>
      </c>
      <c r="B28" t="s">
        <v>670</v>
      </c>
      <c r="C28" s="3" t="s">
        <v>8</v>
      </c>
      <c r="D28" t="s">
        <v>17</v>
      </c>
      <c r="E28" s="5">
        <v>0.1</v>
      </c>
      <c r="F28" s="3" t="s">
        <v>103</v>
      </c>
      <c r="G28" s="3" t="s">
        <v>198</v>
      </c>
      <c r="H28" t="s">
        <v>9</v>
      </c>
      <c r="I28" t="s">
        <v>671</v>
      </c>
    </row>
    <row r="29" spans="1:9" x14ac:dyDescent="0.35">
      <c r="A29" s="9" t="b">
        <v>1</v>
      </c>
      <c r="B29" t="s">
        <v>293</v>
      </c>
      <c r="C29" s="3" t="s">
        <v>111</v>
      </c>
      <c r="D29" t="s">
        <v>14</v>
      </c>
      <c r="E29" s="5">
        <v>0.2</v>
      </c>
      <c r="F29" s="3" t="s">
        <v>103</v>
      </c>
      <c r="G29" s="3" t="s">
        <v>199</v>
      </c>
      <c r="H29" t="s">
        <v>112</v>
      </c>
      <c r="I29" s="4" t="s">
        <v>762</v>
      </c>
    </row>
    <row r="30" spans="1:9" x14ac:dyDescent="0.35">
      <c r="A30" s="9" t="b">
        <v>1</v>
      </c>
      <c r="B30" t="s">
        <v>841</v>
      </c>
      <c r="C30" s="3" t="s">
        <v>8</v>
      </c>
      <c r="D30" t="s">
        <v>106</v>
      </c>
      <c r="E30" s="5">
        <v>0.1</v>
      </c>
      <c r="F30" s="3" t="s">
        <v>103</v>
      </c>
      <c r="G30" s="3" t="s">
        <v>198</v>
      </c>
      <c r="H30" t="s">
        <v>9</v>
      </c>
      <c r="I30" t="s">
        <v>840</v>
      </c>
    </row>
    <row r="31" spans="1:9" x14ac:dyDescent="0.35">
      <c r="A31" s="9" t="b">
        <v>1</v>
      </c>
      <c r="B31" t="s">
        <v>858</v>
      </c>
      <c r="C31" s="3" t="s">
        <v>8</v>
      </c>
      <c r="D31" t="s">
        <v>106</v>
      </c>
      <c r="E31" s="5">
        <v>0.05</v>
      </c>
      <c r="F31" s="3" t="s">
        <v>103</v>
      </c>
      <c r="G31" s="3" t="s">
        <v>198</v>
      </c>
      <c r="H31" t="s">
        <v>9</v>
      </c>
      <c r="I31" t="s">
        <v>859</v>
      </c>
    </row>
    <row r="32" spans="1:9" x14ac:dyDescent="0.35">
      <c r="A32" s="9" t="b">
        <v>1</v>
      </c>
      <c r="B32" t="s">
        <v>10</v>
      </c>
      <c r="C32" s="3" t="s">
        <v>613</v>
      </c>
      <c r="D32" t="s">
        <v>106</v>
      </c>
      <c r="E32" s="5">
        <v>0.1</v>
      </c>
      <c r="F32" s="3" t="s">
        <v>103</v>
      </c>
      <c r="G32" s="3" t="s">
        <v>198</v>
      </c>
      <c r="H32" t="s">
        <v>9</v>
      </c>
      <c r="I32" t="s">
        <v>860</v>
      </c>
    </row>
    <row r="33" spans="1:1" x14ac:dyDescent="0.35">
      <c r="A33" s="9" t="b">
        <v>0</v>
      </c>
    </row>
    <row r="34" spans="1:1" x14ac:dyDescent="0.35">
      <c r="A34" s="9" t="b">
        <v>0</v>
      </c>
    </row>
    <row r="35" spans="1:1" x14ac:dyDescent="0.35">
      <c r="A35" s="9" t="b">
        <v>0</v>
      </c>
    </row>
    <row r="36" spans="1:1" x14ac:dyDescent="0.35">
      <c r="A36" s="9" t="b">
        <v>0</v>
      </c>
    </row>
    <row r="37" spans="1:1" x14ac:dyDescent="0.35">
      <c r="A37" s="9" t="b">
        <v>0</v>
      </c>
    </row>
    <row r="38" spans="1:1" x14ac:dyDescent="0.35">
      <c r="A38" s="9" t="b">
        <v>0</v>
      </c>
    </row>
    <row r="39" spans="1:1" x14ac:dyDescent="0.35">
      <c r="A39" s="9" t="b">
        <v>0</v>
      </c>
    </row>
    <row r="40" spans="1:1" x14ac:dyDescent="0.35">
      <c r="A40" s="9" t="b">
        <v>0</v>
      </c>
    </row>
    <row r="41" spans="1:1" x14ac:dyDescent="0.35">
      <c r="A41" s="9" t="b">
        <v>0</v>
      </c>
    </row>
    <row r="42" spans="1:1" x14ac:dyDescent="0.35">
      <c r="A42" s="9" t="b">
        <v>0</v>
      </c>
    </row>
    <row r="43" spans="1:1" x14ac:dyDescent="0.35">
      <c r="A43" s="9" t="b">
        <v>0</v>
      </c>
    </row>
    <row r="44" spans="1:1" x14ac:dyDescent="0.35">
      <c r="A44" s="9" t="b">
        <v>0</v>
      </c>
    </row>
    <row r="45" spans="1:1" x14ac:dyDescent="0.35">
      <c r="A45" s="9" t="b">
        <v>0</v>
      </c>
    </row>
    <row r="46" spans="1:1" x14ac:dyDescent="0.35">
      <c r="A46" s="9" t="b">
        <v>0</v>
      </c>
    </row>
    <row r="47" spans="1:1" x14ac:dyDescent="0.35">
      <c r="A47" s="9" t="b">
        <v>0</v>
      </c>
    </row>
    <row r="48" spans="1:1" x14ac:dyDescent="0.35">
      <c r="A48" s="9" t="b">
        <v>0</v>
      </c>
    </row>
    <row r="49" spans="1:1" ht="14" customHeight="1" x14ac:dyDescent="0.35">
      <c r="A49" s="9" t="b">
        <v>0</v>
      </c>
    </row>
    <row r="50" spans="1:1" x14ac:dyDescent="0.35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11A32-7C4D-4571-8105-957397FF3475}">
  <dimension ref="A1:XDX100"/>
  <sheetViews>
    <sheetView topLeftCell="A37" zoomScale="89" zoomScaleNormal="130" workbookViewId="0">
      <selection activeCell="A58" sqref="A58"/>
    </sheetView>
  </sheetViews>
  <sheetFormatPr defaultColWidth="0" defaultRowHeight="14.5" zeroHeight="1" x14ac:dyDescent="0.35"/>
  <cols>
    <col min="1" max="1" width="16.1796875" style="3" customWidth="1"/>
    <col min="2" max="2" width="15.453125" style="3" customWidth="1"/>
    <col min="3" max="3" width="8.453125" style="11" customWidth="1"/>
    <col min="4" max="4" width="18" style="3" customWidth="1"/>
    <col min="5" max="5" width="16.54296875" style="3" customWidth="1"/>
    <col min="6" max="6" width="17" style="3" customWidth="1"/>
    <col min="7" max="7" width="12.453125" style="3" customWidth="1"/>
    <col min="8" max="8" width="37.54296875" style="3" customWidth="1"/>
    <col min="9" max="16340" width="8.7265625" style="3" hidden="1"/>
    <col min="16341" max="16341" width="0" style="3" hidden="1"/>
    <col min="16342" max="16350" width="8.7265625" style="3" hidden="1"/>
    <col min="16351" max="16352" width="0" style="3" hidden="1"/>
    <col min="16353" max="16384" width="8.7265625" style="3" hidden="1"/>
  </cols>
  <sheetData>
    <row r="1" spans="1:8" x14ac:dyDescent="0.35">
      <c r="A1" s="3" t="s">
        <v>197</v>
      </c>
      <c r="B1" s="3" t="s">
        <v>149</v>
      </c>
      <c r="C1" s="12" t="s">
        <v>240</v>
      </c>
      <c r="D1" s="3" t="s">
        <v>153</v>
      </c>
      <c r="E1" s="3" t="s">
        <v>2</v>
      </c>
      <c r="F1" s="3" t="s">
        <v>158</v>
      </c>
      <c r="G1" s="3" t="s">
        <v>208</v>
      </c>
      <c r="H1" s="3" t="s">
        <v>31</v>
      </c>
    </row>
    <row r="2" spans="1:8" x14ac:dyDescent="0.35">
      <c r="A2" s="10" t="b">
        <v>1</v>
      </c>
      <c r="B2" s="3" t="s">
        <v>201</v>
      </c>
      <c r="C2" s="12">
        <v>2</v>
      </c>
      <c r="D2" s="3" t="s">
        <v>155</v>
      </c>
      <c r="E2" s="3" t="s">
        <v>202</v>
      </c>
      <c r="H2" s="3" t="s">
        <v>203</v>
      </c>
    </row>
    <row r="3" spans="1:8" x14ac:dyDescent="0.35">
      <c r="A3" s="10" t="b">
        <v>1</v>
      </c>
      <c r="B3" s="3" t="s">
        <v>395</v>
      </c>
      <c r="C3" s="12">
        <v>2</v>
      </c>
      <c r="D3" s="3" t="s">
        <v>331</v>
      </c>
      <c r="E3" s="3" t="s">
        <v>396</v>
      </c>
      <c r="G3" s="3" t="s">
        <v>398</v>
      </c>
      <c r="H3" s="3" t="s">
        <v>397</v>
      </c>
    </row>
    <row r="4" spans="1:8" x14ac:dyDescent="0.35">
      <c r="A4" s="10" t="b">
        <v>1</v>
      </c>
      <c r="B4" s="3" t="s">
        <v>237</v>
      </c>
      <c r="C4" s="12">
        <v>9</v>
      </c>
      <c r="D4" s="3" t="s">
        <v>154</v>
      </c>
      <c r="E4" s="3" t="s">
        <v>238</v>
      </c>
      <c r="G4" s="3" t="s">
        <v>241</v>
      </c>
      <c r="H4" s="3" t="s">
        <v>239</v>
      </c>
    </row>
    <row r="5" spans="1:8" x14ac:dyDescent="0.35">
      <c r="A5" s="10" t="b">
        <v>1</v>
      </c>
      <c r="B5" s="3" t="s">
        <v>204</v>
      </c>
      <c r="C5" s="12">
        <v>2</v>
      </c>
      <c r="D5" s="3" t="s">
        <v>156</v>
      </c>
    </row>
    <row r="6" spans="1:8" x14ac:dyDescent="0.35">
      <c r="A6" s="10" t="b">
        <v>1</v>
      </c>
      <c r="B6" s="3" t="s">
        <v>204</v>
      </c>
      <c r="C6" s="12">
        <v>3</v>
      </c>
      <c r="D6" s="3" t="s">
        <v>156</v>
      </c>
    </row>
    <row r="7" spans="1:8" x14ac:dyDescent="0.35">
      <c r="A7" s="10" t="b">
        <v>1</v>
      </c>
      <c r="B7" s="3" t="s">
        <v>204</v>
      </c>
      <c r="C7" s="12">
        <v>4</v>
      </c>
      <c r="D7" s="3" t="s">
        <v>156</v>
      </c>
    </row>
    <row r="8" spans="1:8" x14ac:dyDescent="0.35">
      <c r="A8" s="10" t="b">
        <v>1</v>
      </c>
      <c r="B8" s="3" t="s">
        <v>204</v>
      </c>
      <c r="C8" s="12">
        <v>5</v>
      </c>
      <c r="D8" s="3" t="s">
        <v>330</v>
      </c>
    </row>
    <row r="9" spans="1:8" x14ac:dyDescent="0.35">
      <c r="A9" s="10" t="b">
        <v>1</v>
      </c>
      <c r="B9" s="3" t="s">
        <v>204</v>
      </c>
      <c r="C9" s="12">
        <v>6</v>
      </c>
      <c r="D9" s="3" t="s">
        <v>330</v>
      </c>
    </row>
    <row r="10" spans="1:8" x14ac:dyDescent="0.35">
      <c r="A10" s="10" t="b">
        <v>1</v>
      </c>
      <c r="B10" s="3" t="s">
        <v>204</v>
      </c>
      <c r="C10" s="12">
        <v>8</v>
      </c>
      <c r="D10" s="3" t="s">
        <v>330</v>
      </c>
    </row>
    <row r="11" spans="1:8" x14ac:dyDescent="0.35">
      <c r="A11" s="10" t="b">
        <v>1</v>
      </c>
      <c r="B11" s="3" t="s">
        <v>204</v>
      </c>
      <c r="C11" s="12">
        <v>10</v>
      </c>
      <c r="D11" s="3" t="s">
        <v>156</v>
      </c>
    </row>
    <row r="12" spans="1:8" x14ac:dyDescent="0.35">
      <c r="A12" s="10" t="b">
        <v>1</v>
      </c>
      <c r="B12" s="3" t="s">
        <v>204</v>
      </c>
      <c r="C12" s="12">
        <v>24</v>
      </c>
      <c r="D12" s="3" t="s">
        <v>330</v>
      </c>
    </row>
    <row r="13" spans="1:8" x14ac:dyDescent="0.35">
      <c r="A13" s="10" t="b">
        <v>1</v>
      </c>
      <c r="B13" s="3" t="s">
        <v>204</v>
      </c>
      <c r="C13" s="12">
        <v>26</v>
      </c>
      <c r="D13" s="3" t="s">
        <v>330</v>
      </c>
    </row>
    <row r="14" spans="1:8" x14ac:dyDescent="0.35">
      <c r="A14" s="10" t="b">
        <v>1</v>
      </c>
      <c r="B14" s="3" t="s">
        <v>511</v>
      </c>
      <c r="C14" s="12">
        <v>3</v>
      </c>
      <c r="D14" s="3" t="s">
        <v>331</v>
      </c>
      <c r="E14" s="3" t="s">
        <v>512</v>
      </c>
      <c r="G14" s="3" t="s">
        <v>514</v>
      </c>
      <c r="H14" s="3" t="s">
        <v>513</v>
      </c>
    </row>
    <row r="15" spans="1:8" x14ac:dyDescent="0.35">
      <c r="A15" s="10" t="b">
        <v>1</v>
      </c>
      <c r="B15" s="3" t="s">
        <v>511</v>
      </c>
      <c r="C15" s="12">
        <v>5</v>
      </c>
      <c r="D15" s="3" t="s">
        <v>331</v>
      </c>
      <c r="G15" s="3" t="s">
        <v>549</v>
      </c>
    </row>
    <row r="16" spans="1:8" x14ac:dyDescent="0.35">
      <c r="A16" s="10" t="b">
        <v>1</v>
      </c>
      <c r="B16" s="3" t="s">
        <v>495</v>
      </c>
      <c r="C16" s="12">
        <v>1</v>
      </c>
      <c r="D16" s="3" t="s">
        <v>202</v>
      </c>
      <c r="E16" s="3" t="s">
        <v>496</v>
      </c>
      <c r="H16" s="3" t="s">
        <v>497</v>
      </c>
    </row>
    <row r="17" spans="1:8" x14ac:dyDescent="0.35">
      <c r="A17" s="10" t="b">
        <v>1</v>
      </c>
      <c r="B17" s="3" t="s">
        <v>495</v>
      </c>
      <c r="C17" s="12">
        <v>1</v>
      </c>
      <c r="D17" s="3" t="s">
        <v>202</v>
      </c>
      <c r="E17" s="3" t="s">
        <v>498</v>
      </c>
      <c r="H17" s="3" t="s">
        <v>499</v>
      </c>
    </row>
    <row r="18" spans="1:8" x14ac:dyDescent="0.35">
      <c r="A18" s="10" t="b">
        <v>1</v>
      </c>
      <c r="B18" s="3" t="s">
        <v>443</v>
      </c>
      <c r="C18" s="12">
        <v>12</v>
      </c>
      <c r="D18" s="3" t="s">
        <v>331</v>
      </c>
      <c r="E18" s="3" t="s">
        <v>444</v>
      </c>
      <c r="F18" s="3" t="s">
        <v>449</v>
      </c>
      <c r="G18" s="3" t="s">
        <v>445</v>
      </c>
      <c r="H18" s="3" t="s">
        <v>447</v>
      </c>
    </row>
    <row r="19" spans="1:8" x14ac:dyDescent="0.35">
      <c r="A19" s="10" t="b">
        <v>1</v>
      </c>
      <c r="B19" s="3" t="s">
        <v>443</v>
      </c>
      <c r="C19" s="12">
        <v>12</v>
      </c>
      <c r="D19" s="3" t="s">
        <v>330</v>
      </c>
      <c r="E19" s="3" t="s">
        <v>449</v>
      </c>
      <c r="F19" s="3" t="s">
        <v>444</v>
      </c>
      <c r="G19" s="3" t="s">
        <v>448</v>
      </c>
      <c r="H19" s="3" t="s">
        <v>446</v>
      </c>
    </row>
    <row r="20" spans="1:8" x14ac:dyDescent="0.35">
      <c r="A20" s="10" t="b">
        <v>1</v>
      </c>
      <c r="B20" s="3" t="s">
        <v>443</v>
      </c>
      <c r="C20" s="12">
        <v>20</v>
      </c>
      <c r="D20" s="3" t="s">
        <v>331</v>
      </c>
      <c r="E20" s="3" t="s">
        <v>462</v>
      </c>
      <c r="F20" s="3" t="s">
        <v>461</v>
      </c>
    </row>
    <row r="21" spans="1:8" x14ac:dyDescent="0.35">
      <c r="A21" s="10" t="b">
        <v>1</v>
      </c>
      <c r="B21" s="3" t="s">
        <v>443</v>
      </c>
      <c r="C21" s="12">
        <v>20</v>
      </c>
      <c r="D21" s="3" t="s">
        <v>330</v>
      </c>
      <c r="E21" s="3" t="s">
        <v>461</v>
      </c>
      <c r="F21" s="3" t="s">
        <v>462</v>
      </c>
      <c r="G21" s="3" t="s">
        <v>463</v>
      </c>
    </row>
    <row r="22" spans="1:8" x14ac:dyDescent="0.35">
      <c r="A22" s="10" t="b">
        <v>1</v>
      </c>
      <c r="B22" s="3" t="s">
        <v>443</v>
      </c>
      <c r="C22" s="12">
        <v>30</v>
      </c>
      <c r="D22" s="3" t="s">
        <v>331</v>
      </c>
      <c r="E22" s="3" t="s">
        <v>475</v>
      </c>
      <c r="F22" s="3" t="s">
        <v>476</v>
      </c>
      <c r="H22" s="3" t="s">
        <v>478</v>
      </c>
    </row>
    <row r="23" spans="1:8" x14ac:dyDescent="0.35">
      <c r="A23" s="10" t="b">
        <v>1</v>
      </c>
      <c r="B23" s="3" t="s">
        <v>443</v>
      </c>
      <c r="C23" s="12">
        <v>30</v>
      </c>
      <c r="D23" s="3" t="s">
        <v>330</v>
      </c>
      <c r="E23" s="3" t="s">
        <v>476</v>
      </c>
      <c r="F23" s="3" t="s">
        <v>475</v>
      </c>
      <c r="G23" s="3" t="s">
        <v>463</v>
      </c>
      <c r="H23" s="3" t="s">
        <v>477</v>
      </c>
    </row>
    <row r="24" spans="1:8" x14ac:dyDescent="0.35">
      <c r="A24" s="10" t="b">
        <v>1</v>
      </c>
      <c r="B24" s="3" t="s">
        <v>152</v>
      </c>
      <c r="C24" s="12">
        <v>2</v>
      </c>
      <c r="D24" s="3" t="s">
        <v>331</v>
      </c>
      <c r="E24" s="3" t="s">
        <v>39</v>
      </c>
      <c r="F24" s="3" t="s">
        <v>157</v>
      </c>
      <c r="H24" s="3" t="s">
        <v>40</v>
      </c>
    </row>
    <row r="25" spans="1:8" x14ac:dyDescent="0.35">
      <c r="A25" s="10" t="b">
        <v>1</v>
      </c>
      <c r="B25" s="3" t="s">
        <v>152</v>
      </c>
      <c r="C25" s="12">
        <v>3</v>
      </c>
      <c r="D25" s="3" t="s">
        <v>331</v>
      </c>
      <c r="E25" s="3" t="s">
        <v>38</v>
      </c>
      <c r="F25" s="3" t="s">
        <v>175</v>
      </c>
      <c r="H25" s="3" t="s">
        <v>37</v>
      </c>
    </row>
    <row r="26" spans="1:8" x14ac:dyDescent="0.35">
      <c r="A26" s="10" t="b">
        <v>1</v>
      </c>
      <c r="B26" s="3" t="s">
        <v>152</v>
      </c>
      <c r="C26" s="12">
        <v>4</v>
      </c>
      <c r="D26" s="3" t="s">
        <v>331</v>
      </c>
      <c r="E26" s="3" t="s">
        <v>207</v>
      </c>
      <c r="F26" s="3" t="s">
        <v>206</v>
      </c>
    </row>
    <row r="27" spans="1:8" x14ac:dyDescent="0.35">
      <c r="A27" s="10" t="b">
        <v>1</v>
      </c>
      <c r="B27" s="3" t="s">
        <v>152</v>
      </c>
      <c r="C27" s="12">
        <v>6</v>
      </c>
      <c r="D27" s="3" t="s">
        <v>331</v>
      </c>
      <c r="E27" s="3" t="s">
        <v>41</v>
      </c>
      <c r="H27" s="3" t="s">
        <v>42</v>
      </c>
    </row>
    <row r="28" spans="1:8" x14ac:dyDescent="0.35">
      <c r="A28" s="10" t="b">
        <v>1</v>
      </c>
      <c r="B28" s="3" t="s">
        <v>205</v>
      </c>
      <c r="C28" s="12">
        <v>16</v>
      </c>
      <c r="D28" s="3" t="s">
        <v>331</v>
      </c>
      <c r="E28" s="3" t="s">
        <v>165</v>
      </c>
      <c r="F28" s="3" t="s">
        <v>165</v>
      </c>
      <c r="H28" s="3" t="s">
        <v>166</v>
      </c>
    </row>
    <row r="29" spans="1:8" x14ac:dyDescent="0.35">
      <c r="A29" s="10" t="b">
        <v>1</v>
      </c>
      <c r="B29" s="3" t="s">
        <v>205</v>
      </c>
      <c r="C29" s="12">
        <v>8</v>
      </c>
      <c r="D29" s="3" t="s">
        <v>331</v>
      </c>
      <c r="E29" s="3" t="s">
        <v>645</v>
      </c>
      <c r="F29" s="3" t="s">
        <v>646</v>
      </c>
      <c r="G29" s="3" t="s">
        <v>647</v>
      </c>
      <c r="H29" s="3" t="s">
        <v>648</v>
      </c>
    </row>
    <row r="30" spans="1:8" x14ac:dyDescent="0.35">
      <c r="A30" s="10" t="b">
        <v>1</v>
      </c>
      <c r="B30" s="3" t="s">
        <v>633</v>
      </c>
      <c r="C30" s="12">
        <v>3</v>
      </c>
      <c r="D30" s="3" t="s">
        <v>331</v>
      </c>
      <c r="E30" s="3" t="s">
        <v>634</v>
      </c>
      <c r="F30" s="3" t="s">
        <v>636</v>
      </c>
      <c r="G30" s="3" t="s">
        <v>635</v>
      </c>
      <c r="H30" s="3" t="s">
        <v>637</v>
      </c>
    </row>
    <row r="31" spans="1:8" x14ac:dyDescent="0.35">
      <c r="A31" s="10" t="b">
        <v>1</v>
      </c>
      <c r="B31" s="3" t="s">
        <v>633</v>
      </c>
      <c r="C31" s="12">
        <v>2</v>
      </c>
      <c r="D31" s="3" t="s">
        <v>331</v>
      </c>
      <c r="E31" s="3" t="s">
        <v>642</v>
      </c>
      <c r="F31" s="3" t="s">
        <v>643</v>
      </c>
      <c r="G31" s="3" t="s">
        <v>635</v>
      </c>
      <c r="H31" s="3" t="s">
        <v>644</v>
      </c>
    </row>
    <row r="32" spans="1:8" x14ac:dyDescent="0.35">
      <c r="A32" s="10" t="b">
        <v>1</v>
      </c>
      <c r="B32" s="3" t="s">
        <v>649</v>
      </c>
      <c r="C32" s="12">
        <v>10</v>
      </c>
      <c r="D32" s="3" t="s">
        <v>331</v>
      </c>
      <c r="E32" s="3" t="s">
        <v>36</v>
      </c>
      <c r="H32" s="3" t="s">
        <v>35</v>
      </c>
    </row>
    <row r="33" spans="1:8" x14ac:dyDescent="0.35">
      <c r="A33" s="10" t="b">
        <v>1</v>
      </c>
      <c r="B33" s="3" t="s">
        <v>649</v>
      </c>
      <c r="C33" s="12">
        <v>16</v>
      </c>
      <c r="D33" s="3" t="s">
        <v>331</v>
      </c>
      <c r="E33" s="3" t="s">
        <v>442</v>
      </c>
    </row>
    <row r="34" spans="1:8" x14ac:dyDescent="0.35">
      <c r="A34" s="10" t="b">
        <v>1</v>
      </c>
      <c r="B34" s="3" t="s">
        <v>150</v>
      </c>
      <c r="C34" s="12">
        <v>2</v>
      </c>
      <c r="D34" s="3" t="s">
        <v>331</v>
      </c>
      <c r="E34" s="3" t="s">
        <v>148</v>
      </c>
      <c r="H34" s="3" t="s">
        <v>95</v>
      </c>
    </row>
    <row r="35" spans="1:8" x14ac:dyDescent="0.35">
      <c r="A35" s="10" t="b">
        <v>1</v>
      </c>
      <c r="B35" s="3" t="s">
        <v>150</v>
      </c>
      <c r="C35" s="12">
        <v>3</v>
      </c>
      <c r="D35" s="3" t="s">
        <v>331</v>
      </c>
      <c r="E35" s="3" t="s">
        <v>94</v>
      </c>
      <c r="H35" s="3" t="s">
        <v>95</v>
      </c>
    </row>
    <row r="36" spans="1:8" x14ac:dyDescent="0.35">
      <c r="A36" s="10" t="b">
        <v>1</v>
      </c>
      <c r="B36" s="3" t="s">
        <v>150</v>
      </c>
      <c r="C36" s="12">
        <v>4</v>
      </c>
      <c r="D36" s="3" t="s">
        <v>331</v>
      </c>
      <c r="E36" s="3" t="s">
        <v>347</v>
      </c>
      <c r="H36" s="3" t="s">
        <v>348</v>
      </c>
    </row>
    <row r="37" spans="1:8" x14ac:dyDescent="0.35">
      <c r="A37" s="10" t="b">
        <v>1</v>
      </c>
      <c r="B37" s="3" t="s">
        <v>150</v>
      </c>
      <c r="C37" s="12">
        <v>5</v>
      </c>
      <c r="D37" s="3" t="s">
        <v>331</v>
      </c>
      <c r="E37" s="3" t="s">
        <v>345</v>
      </c>
      <c r="H37" s="3" t="s">
        <v>346</v>
      </c>
    </row>
    <row r="38" spans="1:8" x14ac:dyDescent="0.35">
      <c r="A38" s="10" t="b">
        <v>1</v>
      </c>
      <c r="B38" s="3" t="s">
        <v>150</v>
      </c>
      <c r="C38" s="12">
        <v>6</v>
      </c>
      <c r="D38" s="3" t="s">
        <v>331</v>
      </c>
      <c r="E38" s="3" t="s">
        <v>349</v>
      </c>
      <c r="H38" s="3" t="s">
        <v>350</v>
      </c>
    </row>
    <row r="39" spans="1:8" x14ac:dyDescent="0.35">
      <c r="A39" s="10" t="b">
        <v>1</v>
      </c>
      <c r="B39" s="3" t="s">
        <v>150</v>
      </c>
      <c r="C39" s="12">
        <v>10</v>
      </c>
      <c r="D39" s="3" t="s">
        <v>331</v>
      </c>
    </row>
    <row r="40" spans="1:8" x14ac:dyDescent="0.35">
      <c r="A40" s="10" t="b">
        <v>1</v>
      </c>
      <c r="B40" s="3" t="s">
        <v>150</v>
      </c>
      <c r="C40" s="12">
        <v>10</v>
      </c>
      <c r="D40" s="3" t="s">
        <v>331</v>
      </c>
      <c r="E40" s="3" t="s">
        <v>351</v>
      </c>
      <c r="H40" s="3" t="s">
        <v>352</v>
      </c>
    </row>
    <row r="41" spans="1:8" x14ac:dyDescent="0.35">
      <c r="A41" s="10" t="b">
        <v>1</v>
      </c>
      <c r="B41" s="3" t="s">
        <v>408</v>
      </c>
      <c r="C41" s="12">
        <v>2</v>
      </c>
      <c r="D41" s="3" t="s">
        <v>331</v>
      </c>
      <c r="E41" s="3" t="s">
        <v>407</v>
      </c>
      <c r="G41" s="3" t="s">
        <v>410</v>
      </c>
      <c r="H41" s="3" t="s">
        <v>409</v>
      </c>
    </row>
    <row r="42" spans="1:8" x14ac:dyDescent="0.35">
      <c r="A42" s="10" t="b">
        <v>1</v>
      </c>
      <c r="B42" s="3" t="s">
        <v>408</v>
      </c>
      <c r="C42" s="12">
        <v>3</v>
      </c>
      <c r="D42" s="3" t="s">
        <v>331</v>
      </c>
      <c r="E42" s="3" t="s">
        <v>543</v>
      </c>
      <c r="G42" s="3" t="s">
        <v>410</v>
      </c>
      <c r="H42" s="3" t="s">
        <v>544</v>
      </c>
    </row>
    <row r="43" spans="1:8" x14ac:dyDescent="0.35">
      <c r="A43" s="10" t="b">
        <v>1</v>
      </c>
      <c r="B43" s="3" t="s">
        <v>408</v>
      </c>
      <c r="C43" s="12">
        <v>4</v>
      </c>
      <c r="D43" s="3" t="s">
        <v>331</v>
      </c>
      <c r="E43" s="3" t="s">
        <v>417</v>
      </c>
      <c r="G43" s="3" t="s">
        <v>410</v>
      </c>
      <c r="H43" s="3" t="s">
        <v>418</v>
      </c>
    </row>
    <row r="44" spans="1:8" x14ac:dyDescent="0.35">
      <c r="A44" s="10" t="b">
        <v>1</v>
      </c>
      <c r="B44" s="3" t="s">
        <v>408</v>
      </c>
      <c r="C44" s="12">
        <v>3</v>
      </c>
      <c r="D44" s="3" t="s">
        <v>331</v>
      </c>
      <c r="E44" s="3" t="s">
        <v>568</v>
      </c>
      <c r="G44" s="3" t="s">
        <v>569</v>
      </c>
      <c r="H44" s="3" t="s">
        <v>570</v>
      </c>
    </row>
    <row r="45" spans="1:8" x14ac:dyDescent="0.35">
      <c r="A45" s="10" t="b">
        <v>1</v>
      </c>
      <c r="B45" s="3" t="s">
        <v>408</v>
      </c>
      <c r="C45" s="12">
        <v>2</v>
      </c>
      <c r="D45" s="3" t="s">
        <v>331</v>
      </c>
      <c r="E45" s="3" t="s">
        <v>676</v>
      </c>
      <c r="G45" s="3" t="s">
        <v>678</v>
      </c>
      <c r="H45" s="3" t="s">
        <v>677</v>
      </c>
    </row>
    <row r="46" spans="1:8" x14ac:dyDescent="0.35">
      <c r="A46" s="10" t="b">
        <v>1</v>
      </c>
      <c r="B46" s="3" t="s">
        <v>329</v>
      </c>
      <c r="C46" s="12">
        <v>4</v>
      </c>
      <c r="D46" s="3" t="s">
        <v>331</v>
      </c>
      <c r="E46" s="3" t="s">
        <v>332</v>
      </c>
      <c r="G46" s="3" t="s">
        <v>333</v>
      </c>
      <c r="H46" s="3" t="s">
        <v>334</v>
      </c>
    </row>
    <row r="47" spans="1:8" x14ac:dyDescent="0.35">
      <c r="A47" s="10" t="b">
        <v>1</v>
      </c>
      <c r="B47" s="3" t="s">
        <v>335</v>
      </c>
      <c r="C47" s="12">
        <v>8</v>
      </c>
      <c r="D47" s="3" t="s">
        <v>331</v>
      </c>
      <c r="E47" s="3" t="s">
        <v>401</v>
      </c>
      <c r="G47" s="3" t="s">
        <v>333</v>
      </c>
      <c r="H47" s="3" t="s">
        <v>402</v>
      </c>
    </row>
    <row r="48" spans="1:8" x14ac:dyDescent="0.35">
      <c r="A48" s="10" t="b">
        <v>1</v>
      </c>
      <c r="B48" s="3" t="s">
        <v>265</v>
      </c>
      <c r="C48" s="12">
        <v>4</v>
      </c>
      <c r="D48" s="3" t="s">
        <v>331</v>
      </c>
      <c r="E48" s="3" t="s">
        <v>266</v>
      </c>
      <c r="G48" s="3" t="s">
        <v>333</v>
      </c>
      <c r="H48" s="3" t="s">
        <v>267</v>
      </c>
    </row>
    <row r="49" spans="1:8" x14ac:dyDescent="0.35">
      <c r="A49" s="10" t="b">
        <v>1</v>
      </c>
      <c r="B49" s="3" t="s">
        <v>479</v>
      </c>
      <c r="C49" s="12">
        <v>5</v>
      </c>
      <c r="D49" s="3" t="s">
        <v>331</v>
      </c>
      <c r="E49" s="3" t="s">
        <v>480</v>
      </c>
      <c r="H49" s="3" t="s">
        <v>481</v>
      </c>
    </row>
    <row r="50" spans="1:8" x14ac:dyDescent="0.35">
      <c r="A50" s="10" t="b">
        <v>1</v>
      </c>
      <c r="B50" s="3" t="s">
        <v>151</v>
      </c>
      <c r="C50" s="12"/>
      <c r="D50" s="3" t="s">
        <v>331</v>
      </c>
      <c r="E50" s="3" t="s">
        <v>92</v>
      </c>
      <c r="G50" s="3" t="s">
        <v>242</v>
      </c>
      <c r="H50" s="3" t="s">
        <v>93</v>
      </c>
    </row>
    <row r="51" spans="1:8" x14ac:dyDescent="0.35">
      <c r="A51" s="10" t="b">
        <v>1</v>
      </c>
      <c r="B51" s="3" t="s">
        <v>443</v>
      </c>
      <c r="C51" s="12">
        <v>20</v>
      </c>
      <c r="D51" s="3" t="s">
        <v>330</v>
      </c>
      <c r="E51" s="3" t="s">
        <v>679</v>
      </c>
      <c r="F51" s="3" t="s">
        <v>475</v>
      </c>
      <c r="G51" s="3" t="s">
        <v>680</v>
      </c>
      <c r="H51" s="3" t="s">
        <v>681</v>
      </c>
    </row>
    <row r="52" spans="1:8" x14ac:dyDescent="0.35">
      <c r="A52" s="10" t="b">
        <v>1</v>
      </c>
      <c r="B52" s="3" t="s">
        <v>704</v>
      </c>
      <c r="C52" s="12">
        <v>1</v>
      </c>
      <c r="D52" s="3" t="s">
        <v>331</v>
      </c>
      <c r="E52" s="3" t="s">
        <v>705</v>
      </c>
      <c r="G52" s="3" t="s">
        <v>706</v>
      </c>
      <c r="H52" s="3" t="s">
        <v>707</v>
      </c>
    </row>
    <row r="53" spans="1:8" x14ac:dyDescent="0.35">
      <c r="A53" s="10" t="b">
        <v>1</v>
      </c>
      <c r="B53" s="3" t="s">
        <v>204</v>
      </c>
      <c r="C53" s="12">
        <v>4</v>
      </c>
      <c r="D53" s="3" t="s">
        <v>330</v>
      </c>
      <c r="E53" s="3" t="s">
        <v>716</v>
      </c>
      <c r="G53" s="3" t="s">
        <v>647</v>
      </c>
      <c r="H53" s="3" t="s">
        <v>717</v>
      </c>
    </row>
    <row r="54" spans="1:8" x14ac:dyDescent="0.35">
      <c r="A54" s="10" t="b">
        <v>1</v>
      </c>
      <c r="B54" s="3" t="s">
        <v>204</v>
      </c>
      <c r="C54" s="12">
        <v>8</v>
      </c>
      <c r="D54" s="3" t="s">
        <v>330</v>
      </c>
      <c r="E54" s="3" t="s">
        <v>820</v>
      </c>
      <c r="G54" s="3" t="s">
        <v>821</v>
      </c>
      <c r="H54" s="3" t="s">
        <v>822</v>
      </c>
    </row>
    <row r="55" spans="1:8" x14ac:dyDescent="0.35">
      <c r="A55" s="10" t="b">
        <v>1</v>
      </c>
      <c r="B55" s="3" t="s">
        <v>834</v>
      </c>
      <c r="C55" s="12">
        <v>1</v>
      </c>
      <c r="D55" s="3" t="s">
        <v>835</v>
      </c>
      <c r="E55" s="3" t="s">
        <v>836</v>
      </c>
      <c r="F55" s="3" t="s">
        <v>837</v>
      </c>
      <c r="G55" s="3" t="s">
        <v>838</v>
      </c>
      <c r="H55" s="3" t="s">
        <v>839</v>
      </c>
    </row>
    <row r="56" spans="1:8" x14ac:dyDescent="0.35">
      <c r="A56" s="10" t="b">
        <v>1</v>
      </c>
      <c r="B56" s="3" t="s">
        <v>861</v>
      </c>
      <c r="C56" s="12">
        <v>1</v>
      </c>
      <c r="D56" s="3" t="s">
        <v>202</v>
      </c>
      <c r="E56" s="3" t="s">
        <v>862</v>
      </c>
      <c r="F56" s="3" t="s">
        <v>202</v>
      </c>
      <c r="G56" s="3" t="s">
        <v>863</v>
      </c>
      <c r="H56" s="3" t="s">
        <v>864</v>
      </c>
    </row>
    <row r="57" spans="1:8" x14ac:dyDescent="0.35">
      <c r="A57" s="10" t="b">
        <v>1</v>
      </c>
      <c r="B57" s="3" t="s">
        <v>865</v>
      </c>
      <c r="C57" s="12">
        <v>4</v>
      </c>
      <c r="D57" s="3" t="s">
        <v>331</v>
      </c>
      <c r="E57" s="3" t="s">
        <v>866</v>
      </c>
      <c r="F57" s="3" t="s">
        <v>866</v>
      </c>
      <c r="G57" s="3" t="s">
        <v>867</v>
      </c>
      <c r="H57" s="3" t="s">
        <v>868</v>
      </c>
    </row>
    <row r="58" spans="1:8" x14ac:dyDescent="0.35">
      <c r="A58" s="10" t="b">
        <v>1</v>
      </c>
      <c r="B58" s="3" t="s">
        <v>865</v>
      </c>
      <c r="C58" s="12">
        <v>4</v>
      </c>
      <c r="D58" s="3" t="s">
        <v>330</v>
      </c>
      <c r="E58" s="3" t="s">
        <v>866</v>
      </c>
      <c r="F58" s="3" t="s">
        <v>866</v>
      </c>
      <c r="G58" s="3" t="s">
        <v>867</v>
      </c>
      <c r="H58" s="3" t="s">
        <v>868</v>
      </c>
    </row>
    <row r="59" spans="1:8" x14ac:dyDescent="0.35">
      <c r="A59" s="10" t="b">
        <v>0</v>
      </c>
      <c r="C59" s="12"/>
    </row>
    <row r="60" spans="1:8" x14ac:dyDescent="0.35">
      <c r="A60" s="10" t="b">
        <v>0</v>
      </c>
      <c r="C60" s="12"/>
    </row>
    <row r="61" spans="1:8" x14ac:dyDescent="0.35">
      <c r="A61" s="10" t="b">
        <v>0</v>
      </c>
      <c r="C61" s="12"/>
    </row>
    <row r="62" spans="1:8" x14ac:dyDescent="0.35">
      <c r="A62" s="10" t="b">
        <v>0</v>
      </c>
      <c r="C62" s="12"/>
    </row>
    <row r="63" spans="1:8" x14ac:dyDescent="0.35">
      <c r="A63" s="10" t="b">
        <v>0</v>
      </c>
      <c r="C63" s="12"/>
    </row>
    <row r="64" spans="1:8" x14ac:dyDescent="0.35">
      <c r="A64" s="10" t="b">
        <v>0</v>
      </c>
      <c r="C64" s="12"/>
    </row>
    <row r="65" spans="1:3" x14ac:dyDescent="0.35">
      <c r="A65" s="10" t="b">
        <v>0</v>
      </c>
      <c r="C65" s="12"/>
    </row>
    <row r="66" spans="1:3" x14ac:dyDescent="0.35">
      <c r="A66" s="10" t="b">
        <v>0</v>
      </c>
      <c r="C66" s="12"/>
    </row>
    <row r="67" spans="1:3" x14ac:dyDescent="0.35">
      <c r="A67" s="10" t="b">
        <v>0</v>
      </c>
      <c r="C67" s="12"/>
    </row>
    <row r="68" spans="1:3" x14ac:dyDescent="0.35">
      <c r="A68" s="10" t="b">
        <v>0</v>
      </c>
      <c r="C68" s="12"/>
    </row>
    <row r="69" spans="1:3" x14ac:dyDescent="0.35">
      <c r="A69" s="10" t="b">
        <v>0</v>
      </c>
      <c r="C69" s="12"/>
    </row>
    <row r="70" spans="1:3" x14ac:dyDescent="0.35">
      <c r="A70" s="10" t="b">
        <v>0</v>
      </c>
      <c r="C70" s="12"/>
    </row>
    <row r="71" spans="1:3" x14ac:dyDescent="0.35">
      <c r="A71" s="10" t="b">
        <v>0</v>
      </c>
      <c r="C71" s="12"/>
    </row>
    <row r="72" spans="1:3" x14ac:dyDescent="0.35">
      <c r="A72" s="10" t="b">
        <v>0</v>
      </c>
      <c r="C72" s="12"/>
    </row>
    <row r="73" spans="1:3" x14ac:dyDescent="0.35">
      <c r="A73" s="10" t="b">
        <v>0</v>
      </c>
      <c r="C73" s="12"/>
    </row>
    <row r="74" spans="1:3" x14ac:dyDescent="0.35">
      <c r="A74" s="10" t="b">
        <v>0</v>
      </c>
      <c r="C74" s="12"/>
    </row>
    <row r="75" spans="1:3" x14ac:dyDescent="0.35">
      <c r="A75" s="10" t="b">
        <v>0</v>
      </c>
      <c r="C75" s="12"/>
    </row>
    <row r="76" spans="1:3" x14ac:dyDescent="0.35">
      <c r="A76" s="10" t="b">
        <v>0</v>
      </c>
      <c r="C76" s="12"/>
    </row>
    <row r="77" spans="1:3" x14ac:dyDescent="0.35">
      <c r="A77" s="10" t="b">
        <v>0</v>
      </c>
      <c r="C77" s="12"/>
    </row>
    <row r="78" spans="1:3" x14ac:dyDescent="0.35">
      <c r="A78" s="10" t="b">
        <v>0</v>
      </c>
      <c r="C78" s="12"/>
    </row>
    <row r="79" spans="1:3" x14ac:dyDescent="0.35">
      <c r="A79" s="10" t="b">
        <v>0</v>
      </c>
      <c r="C79" s="12"/>
    </row>
    <row r="80" spans="1:3" x14ac:dyDescent="0.35">
      <c r="A80" s="10" t="b">
        <v>0</v>
      </c>
      <c r="C80" s="12"/>
    </row>
    <row r="81" spans="1:3" x14ac:dyDescent="0.35">
      <c r="A81" s="10" t="b">
        <v>0</v>
      </c>
      <c r="C81" s="12"/>
    </row>
    <row r="82" spans="1:3" x14ac:dyDescent="0.35">
      <c r="A82" s="10" t="b">
        <v>0</v>
      </c>
      <c r="C82" s="12"/>
    </row>
    <row r="83" spans="1:3" x14ac:dyDescent="0.35">
      <c r="A83" s="10" t="b">
        <v>0</v>
      </c>
      <c r="C83" s="12"/>
    </row>
    <row r="84" spans="1:3" x14ac:dyDescent="0.35">
      <c r="A84" s="10" t="b">
        <v>0</v>
      </c>
      <c r="C84" s="12"/>
    </row>
    <row r="85" spans="1:3" x14ac:dyDescent="0.35">
      <c r="A85" s="10" t="b">
        <v>0</v>
      </c>
      <c r="C85" s="12"/>
    </row>
    <row r="86" spans="1:3" x14ac:dyDescent="0.35">
      <c r="A86" s="10" t="b">
        <v>0</v>
      </c>
      <c r="C86" s="12"/>
    </row>
    <row r="87" spans="1:3" x14ac:dyDescent="0.35">
      <c r="A87" s="10" t="b">
        <v>0</v>
      </c>
      <c r="C87" s="12"/>
    </row>
    <row r="88" spans="1:3" x14ac:dyDescent="0.35">
      <c r="A88" s="10" t="b">
        <v>0</v>
      </c>
      <c r="C88" s="12"/>
    </row>
    <row r="89" spans="1:3" x14ac:dyDescent="0.35">
      <c r="A89" s="10" t="b">
        <v>0</v>
      </c>
      <c r="C89" s="12"/>
    </row>
    <row r="90" spans="1:3" x14ac:dyDescent="0.35">
      <c r="A90" s="10" t="b">
        <v>0</v>
      </c>
      <c r="C90" s="12"/>
    </row>
    <row r="91" spans="1:3" x14ac:dyDescent="0.35">
      <c r="A91" s="10" t="b">
        <v>0</v>
      </c>
      <c r="C91" s="12"/>
    </row>
    <row r="92" spans="1:3" x14ac:dyDescent="0.35">
      <c r="A92" s="10" t="b">
        <v>0</v>
      </c>
      <c r="C92" s="12"/>
    </row>
    <row r="93" spans="1:3" x14ac:dyDescent="0.35">
      <c r="A93" s="10" t="b">
        <v>0</v>
      </c>
      <c r="C93" s="12"/>
    </row>
    <row r="94" spans="1:3" x14ac:dyDescent="0.35">
      <c r="A94" s="10" t="b">
        <v>0</v>
      </c>
      <c r="C94" s="12"/>
    </row>
    <row r="95" spans="1:3" x14ac:dyDescent="0.35">
      <c r="A95" s="10" t="b">
        <v>0</v>
      </c>
      <c r="C95" s="12"/>
    </row>
    <row r="96" spans="1:3" x14ac:dyDescent="0.35">
      <c r="A96" s="10" t="b">
        <v>0</v>
      </c>
      <c r="C96" s="12"/>
    </row>
    <row r="97" spans="1:3" x14ac:dyDescent="0.35">
      <c r="A97" s="10" t="b">
        <v>0</v>
      </c>
      <c r="C97" s="12"/>
    </row>
    <row r="98" spans="1:3" x14ac:dyDescent="0.35">
      <c r="A98" s="10" t="b">
        <v>0</v>
      </c>
      <c r="C98" s="12"/>
    </row>
    <row r="99" spans="1:3" x14ac:dyDescent="0.35">
      <c r="A99" s="10" t="b">
        <v>0</v>
      </c>
      <c r="C99" s="12"/>
    </row>
    <row r="100" spans="1:3" x14ac:dyDescent="0.35">
      <c r="A100" s="10" t="b">
        <v>0</v>
      </c>
      <c r="C100" s="1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C580B-30DF-4B7B-9130-28D1AB04F48B}">
  <dimension ref="A1:H16"/>
  <sheetViews>
    <sheetView workbookViewId="0">
      <selection activeCell="A5" sqref="A5"/>
    </sheetView>
  </sheetViews>
  <sheetFormatPr defaultColWidth="0" defaultRowHeight="14.5" zeroHeight="1" x14ac:dyDescent="0.35"/>
  <cols>
    <col min="1" max="1" width="19.08984375" customWidth="1"/>
    <col min="2" max="2" width="17.1796875" customWidth="1"/>
    <col min="3" max="3" width="14.6328125" customWidth="1"/>
    <col min="4" max="4" width="17.90625" customWidth="1"/>
    <col min="5" max="5" width="10.81640625" customWidth="1"/>
    <col min="6" max="6" width="30.36328125" customWidth="1"/>
    <col min="7" max="7" width="46.54296875" customWidth="1"/>
    <col min="8" max="8" width="0" hidden="1" customWidth="1"/>
    <col min="9" max="16384" width="8.7265625" hidden="1"/>
  </cols>
  <sheetData>
    <row r="1" spans="1:7" x14ac:dyDescent="0.35">
      <c r="A1" t="s">
        <v>197</v>
      </c>
      <c r="B1" t="s">
        <v>96</v>
      </c>
      <c r="C1" t="s">
        <v>83</v>
      </c>
      <c r="D1" t="s">
        <v>97</v>
      </c>
      <c r="E1" t="s">
        <v>102</v>
      </c>
      <c r="F1" t="s">
        <v>2</v>
      </c>
      <c r="G1" t="s">
        <v>31</v>
      </c>
    </row>
    <row r="2" spans="1:7" x14ac:dyDescent="0.35">
      <c r="A2" s="9" t="b">
        <v>1</v>
      </c>
      <c r="B2" t="s">
        <v>98</v>
      </c>
      <c r="C2" t="s">
        <v>99</v>
      </c>
      <c r="D2" t="s">
        <v>100</v>
      </c>
      <c r="E2" t="s">
        <v>103</v>
      </c>
      <c r="F2" t="s">
        <v>101</v>
      </c>
      <c r="G2" t="s">
        <v>104</v>
      </c>
    </row>
    <row r="3" spans="1:7" x14ac:dyDescent="0.35">
      <c r="A3" s="9" t="b">
        <v>1</v>
      </c>
      <c r="B3" t="s">
        <v>98</v>
      </c>
      <c r="C3" t="s">
        <v>161</v>
      </c>
      <c r="D3" t="s">
        <v>159</v>
      </c>
      <c r="E3" t="s">
        <v>103</v>
      </c>
      <c r="F3" t="s">
        <v>162</v>
      </c>
      <c r="G3" t="s">
        <v>160</v>
      </c>
    </row>
    <row r="4" spans="1:7" x14ac:dyDescent="0.35">
      <c r="A4" s="9" t="b">
        <v>1</v>
      </c>
      <c r="B4" t="s">
        <v>542</v>
      </c>
      <c r="C4" t="s">
        <v>99</v>
      </c>
      <c r="D4" t="s">
        <v>541</v>
      </c>
      <c r="E4" t="s">
        <v>103</v>
      </c>
      <c r="F4" t="s">
        <v>539</v>
      </c>
      <c r="G4" t="s">
        <v>540</v>
      </c>
    </row>
    <row r="5" spans="1:7" x14ac:dyDescent="0.35">
      <c r="A5" s="9" t="b">
        <v>1</v>
      </c>
      <c r="B5" t="s">
        <v>883</v>
      </c>
      <c r="C5" t="s">
        <v>99</v>
      </c>
      <c r="D5" t="s">
        <v>884</v>
      </c>
      <c r="E5" t="s">
        <v>103</v>
      </c>
      <c r="F5" t="s">
        <v>885</v>
      </c>
      <c r="G5" t="s">
        <v>886</v>
      </c>
    </row>
    <row r="6" spans="1:7" x14ac:dyDescent="0.35">
      <c r="A6" s="9" t="b">
        <v>0</v>
      </c>
    </row>
    <row r="7" spans="1:7" x14ac:dyDescent="0.35">
      <c r="A7" s="9" t="b">
        <v>0</v>
      </c>
    </row>
    <row r="8" spans="1:7" x14ac:dyDescent="0.35">
      <c r="A8" s="9" t="b">
        <v>0</v>
      </c>
    </row>
    <row r="9" spans="1:7" x14ac:dyDescent="0.35">
      <c r="A9" s="9" t="b">
        <v>0</v>
      </c>
    </row>
    <row r="10" spans="1:7" x14ac:dyDescent="0.35">
      <c r="A10" s="9" t="b">
        <v>0</v>
      </c>
    </row>
    <row r="11" spans="1:7" x14ac:dyDescent="0.35">
      <c r="A11" s="9" t="b">
        <v>0</v>
      </c>
    </row>
    <row r="12" spans="1:7" x14ac:dyDescent="0.35">
      <c r="A12" s="9" t="b">
        <v>0</v>
      </c>
    </row>
    <row r="13" spans="1:7" x14ac:dyDescent="0.35">
      <c r="A13" s="9" t="b">
        <v>0</v>
      </c>
    </row>
    <row r="14" spans="1:7" x14ac:dyDescent="0.35">
      <c r="A14" s="9" t="b">
        <v>0</v>
      </c>
    </row>
    <row r="15" spans="1:7" x14ac:dyDescent="0.35">
      <c r="A15" s="9" t="b">
        <v>0</v>
      </c>
    </row>
    <row r="16" spans="1:7" x14ac:dyDescent="0.35">
      <c r="A16" s="9" t="b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0A492-FDE3-4289-9C55-9A97FFD78944}">
  <dimension ref="A1:H20"/>
  <sheetViews>
    <sheetView workbookViewId="0">
      <selection activeCell="A14" sqref="A14"/>
    </sheetView>
  </sheetViews>
  <sheetFormatPr defaultColWidth="0" defaultRowHeight="14.5" zeroHeight="1" x14ac:dyDescent="0.35"/>
  <cols>
    <col min="1" max="1" width="17.08984375" customWidth="1"/>
    <col min="2" max="2" width="15.7265625" customWidth="1"/>
    <col min="3" max="3" width="18.7265625" customWidth="1"/>
    <col min="4" max="4" width="20.1796875" customWidth="1"/>
    <col min="5" max="5" width="10.6328125" customWidth="1"/>
    <col min="6" max="6" width="14.6328125" customWidth="1"/>
    <col min="7" max="7" width="19.54296875" customWidth="1"/>
    <col min="8" max="8" width="31.54296875" customWidth="1"/>
    <col min="9" max="16384" width="8.7265625" hidden="1"/>
  </cols>
  <sheetData>
    <row r="1" spans="1:8" s="6" customFormat="1" x14ac:dyDescent="0.35">
      <c r="A1" s="6" t="s">
        <v>197</v>
      </c>
      <c r="B1" s="6" t="s">
        <v>83</v>
      </c>
      <c r="C1" s="6" t="s">
        <v>118</v>
      </c>
      <c r="D1" s="6" t="s">
        <v>114</v>
      </c>
      <c r="E1" s="6" t="s">
        <v>612</v>
      </c>
      <c r="F1" s="6" t="s">
        <v>115</v>
      </c>
      <c r="G1" s="6" t="s">
        <v>2</v>
      </c>
      <c r="H1" s="6" t="s">
        <v>31</v>
      </c>
    </row>
    <row r="2" spans="1:8" x14ac:dyDescent="0.35">
      <c r="A2" s="9" t="b">
        <v>1</v>
      </c>
      <c r="B2" t="s">
        <v>169</v>
      </c>
      <c r="C2" t="s">
        <v>170</v>
      </c>
      <c r="D2" t="s">
        <v>171</v>
      </c>
      <c r="E2" t="s">
        <v>664</v>
      </c>
      <c r="F2" t="s">
        <v>172</v>
      </c>
      <c r="G2" t="s">
        <v>173</v>
      </c>
      <c r="H2" t="s">
        <v>174</v>
      </c>
    </row>
    <row r="3" spans="1:8" x14ac:dyDescent="0.35">
      <c r="A3" s="9" t="b">
        <v>1</v>
      </c>
      <c r="B3" t="s">
        <v>116</v>
      </c>
      <c r="C3" t="s">
        <v>117</v>
      </c>
      <c r="D3" t="s">
        <v>119</v>
      </c>
      <c r="E3" t="s">
        <v>663</v>
      </c>
      <c r="F3" t="s">
        <v>120</v>
      </c>
      <c r="G3" t="s">
        <v>121</v>
      </c>
    </row>
    <row r="4" spans="1:8" x14ac:dyDescent="0.35">
      <c r="A4" s="9" t="b">
        <v>1</v>
      </c>
      <c r="B4" t="s">
        <v>116</v>
      </c>
      <c r="C4" t="s">
        <v>117</v>
      </c>
      <c r="D4" t="s">
        <v>171</v>
      </c>
      <c r="E4" t="s">
        <v>665</v>
      </c>
      <c r="F4" t="s">
        <v>464</v>
      </c>
      <c r="G4" t="s">
        <v>465</v>
      </c>
      <c r="H4" t="s">
        <v>466</v>
      </c>
    </row>
    <row r="5" spans="1:8" x14ac:dyDescent="0.35">
      <c r="A5" s="9" t="b">
        <v>1</v>
      </c>
      <c r="B5" t="s">
        <v>116</v>
      </c>
      <c r="C5" t="s">
        <v>659</v>
      </c>
      <c r="D5" t="s">
        <v>119</v>
      </c>
      <c r="E5" t="s">
        <v>662</v>
      </c>
      <c r="F5" t="s">
        <v>469</v>
      </c>
      <c r="G5" t="s">
        <v>660</v>
      </c>
      <c r="H5" t="s">
        <v>661</v>
      </c>
    </row>
    <row r="6" spans="1:8" x14ac:dyDescent="0.35">
      <c r="A6" s="9" t="b">
        <v>1</v>
      </c>
      <c r="B6" t="s">
        <v>523</v>
      </c>
      <c r="C6" t="s">
        <v>524</v>
      </c>
      <c r="E6" t="s">
        <v>611</v>
      </c>
      <c r="F6" t="s">
        <v>172</v>
      </c>
      <c r="G6" t="s">
        <v>525</v>
      </c>
      <c r="H6" t="s">
        <v>526</v>
      </c>
    </row>
    <row r="7" spans="1:8" x14ac:dyDescent="0.35">
      <c r="A7" s="9" t="b">
        <v>1</v>
      </c>
      <c r="B7" t="s">
        <v>523</v>
      </c>
      <c r="C7" t="s">
        <v>625</v>
      </c>
      <c r="E7" t="s">
        <v>629</v>
      </c>
      <c r="F7" t="s">
        <v>627</v>
      </c>
      <c r="G7" t="s">
        <v>626</v>
      </c>
      <c r="H7" t="s">
        <v>628</v>
      </c>
    </row>
    <row r="8" spans="1:8" x14ac:dyDescent="0.35">
      <c r="A8" s="9" t="b">
        <v>1</v>
      </c>
      <c r="B8" t="s">
        <v>467</v>
      </c>
      <c r="C8" t="s">
        <v>468</v>
      </c>
      <c r="E8" t="s">
        <v>610</v>
      </c>
      <c r="F8" t="s">
        <v>469</v>
      </c>
      <c r="G8" t="s">
        <v>470</v>
      </c>
      <c r="H8" t="s">
        <v>471</v>
      </c>
    </row>
    <row r="9" spans="1:8" x14ac:dyDescent="0.35">
      <c r="A9" s="9" t="b">
        <v>1</v>
      </c>
      <c r="B9" t="s">
        <v>467</v>
      </c>
      <c r="C9" t="s">
        <v>468</v>
      </c>
      <c r="E9" t="s">
        <v>286</v>
      </c>
      <c r="F9" t="s">
        <v>464</v>
      </c>
      <c r="G9" t="s">
        <v>601</v>
      </c>
      <c r="H9" t="s">
        <v>602</v>
      </c>
    </row>
    <row r="10" spans="1:8" x14ac:dyDescent="0.35">
      <c r="A10" s="9" t="b">
        <v>1</v>
      </c>
      <c r="B10" t="s">
        <v>467</v>
      </c>
      <c r="C10" t="s">
        <v>606</v>
      </c>
      <c r="E10" t="s">
        <v>610</v>
      </c>
      <c r="F10" t="s">
        <v>607</v>
      </c>
      <c r="G10" t="s">
        <v>608</v>
      </c>
      <c r="H10" t="s">
        <v>609</v>
      </c>
    </row>
    <row r="11" spans="1:8" x14ac:dyDescent="0.35">
      <c r="A11" s="9" t="b">
        <v>1</v>
      </c>
      <c r="B11" t="s">
        <v>467</v>
      </c>
      <c r="C11" t="s">
        <v>622</v>
      </c>
      <c r="E11" t="s">
        <v>610</v>
      </c>
      <c r="F11" t="s">
        <v>607</v>
      </c>
      <c r="G11" t="s">
        <v>623</v>
      </c>
      <c r="H11" t="s">
        <v>624</v>
      </c>
    </row>
    <row r="12" spans="1:8" x14ac:dyDescent="0.35">
      <c r="A12" s="9" t="b">
        <v>1</v>
      </c>
      <c r="B12" t="s">
        <v>523</v>
      </c>
      <c r="C12" t="s">
        <v>757</v>
      </c>
      <c r="E12" t="s">
        <v>758</v>
      </c>
      <c r="F12" t="s">
        <v>759</v>
      </c>
      <c r="G12" t="s">
        <v>760</v>
      </c>
      <c r="H12" t="s">
        <v>761</v>
      </c>
    </row>
    <row r="13" spans="1:8" x14ac:dyDescent="0.35">
      <c r="A13" s="9" t="b">
        <v>1</v>
      </c>
      <c r="B13" t="s">
        <v>523</v>
      </c>
      <c r="C13" t="s">
        <v>524</v>
      </c>
      <c r="E13" t="s">
        <v>758</v>
      </c>
      <c r="F13" t="s">
        <v>759</v>
      </c>
      <c r="G13" t="s">
        <v>809</v>
      </c>
      <c r="H13" t="s">
        <v>810</v>
      </c>
    </row>
    <row r="14" spans="1:8" x14ac:dyDescent="0.35">
      <c r="A14" s="9" t="b">
        <v>1</v>
      </c>
      <c r="B14" t="s">
        <v>523</v>
      </c>
      <c r="C14" t="s">
        <v>895</v>
      </c>
      <c r="E14" t="s">
        <v>896</v>
      </c>
      <c r="F14" t="s">
        <v>846</v>
      </c>
      <c r="G14" t="s">
        <v>897</v>
      </c>
      <c r="H14" t="s">
        <v>898</v>
      </c>
    </row>
    <row r="15" spans="1:8" x14ac:dyDescent="0.35">
      <c r="A15" s="9" t="b">
        <v>0</v>
      </c>
    </row>
    <row r="16" spans="1:8" x14ac:dyDescent="0.35">
      <c r="A16" s="9" t="b">
        <v>0</v>
      </c>
    </row>
    <row r="17" spans="1:1" x14ac:dyDescent="0.35">
      <c r="A17" s="9" t="b">
        <v>0</v>
      </c>
    </row>
    <row r="18" spans="1:1" x14ac:dyDescent="0.35">
      <c r="A18" s="9" t="b">
        <v>0</v>
      </c>
    </row>
    <row r="19" spans="1:1" x14ac:dyDescent="0.35">
      <c r="A19" s="9" t="b">
        <v>0</v>
      </c>
    </row>
    <row r="20" spans="1:1" x14ac:dyDescent="0.35">
      <c r="A20" s="9" t="b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F692B-7F28-45B7-9D1E-A5B0F0D04085}">
  <dimension ref="A1:F50"/>
  <sheetViews>
    <sheetView topLeftCell="A26" workbookViewId="0">
      <selection activeCell="A34" sqref="A34"/>
    </sheetView>
  </sheetViews>
  <sheetFormatPr defaultColWidth="0" defaultRowHeight="14.5" zeroHeight="1" x14ac:dyDescent="0.35"/>
  <cols>
    <col min="1" max="1" width="16" customWidth="1"/>
    <col min="2" max="3" width="27.7265625" customWidth="1"/>
    <col min="4" max="4" width="24.90625" customWidth="1"/>
    <col min="5" max="5" width="55.36328125" customWidth="1"/>
    <col min="6" max="6" width="0" hidden="1" customWidth="1"/>
    <col min="7" max="16384" width="8.7265625" hidden="1"/>
  </cols>
  <sheetData>
    <row r="1" spans="1:5" x14ac:dyDescent="0.35">
      <c r="A1" t="s">
        <v>197</v>
      </c>
      <c r="B1" t="s">
        <v>78</v>
      </c>
      <c r="C1" t="s">
        <v>208</v>
      </c>
      <c r="D1" t="s">
        <v>2</v>
      </c>
      <c r="E1" t="s">
        <v>31</v>
      </c>
    </row>
    <row r="2" spans="1:5" x14ac:dyDescent="0.35">
      <c r="A2" s="9" t="b">
        <v>1</v>
      </c>
      <c r="B2" t="s">
        <v>630</v>
      </c>
      <c r="C2" t="s">
        <v>639</v>
      </c>
      <c r="D2" t="s">
        <v>631</v>
      </c>
      <c r="E2" t="s">
        <v>632</v>
      </c>
    </row>
    <row r="3" spans="1:5" x14ac:dyDescent="0.35">
      <c r="A3" s="9" t="b">
        <v>1</v>
      </c>
      <c r="B3" t="s">
        <v>630</v>
      </c>
      <c r="C3" t="s">
        <v>638</v>
      </c>
      <c r="D3" t="s">
        <v>640</v>
      </c>
      <c r="E3" t="s">
        <v>641</v>
      </c>
    </row>
    <row r="4" spans="1:5" x14ac:dyDescent="0.35">
      <c r="A4" s="9" t="b">
        <v>1</v>
      </c>
      <c r="B4" t="s">
        <v>419</v>
      </c>
      <c r="C4" t="s">
        <v>422</v>
      </c>
      <c r="D4" t="s">
        <v>420</v>
      </c>
      <c r="E4" t="s">
        <v>421</v>
      </c>
    </row>
    <row r="5" spans="1:5" x14ac:dyDescent="0.35">
      <c r="A5" s="9" t="b">
        <v>1</v>
      </c>
      <c r="B5" t="s">
        <v>603</v>
      </c>
      <c r="D5" t="s">
        <v>605</v>
      </c>
      <c r="E5" t="s">
        <v>604</v>
      </c>
    </row>
    <row r="6" spans="1:5" x14ac:dyDescent="0.35">
      <c r="A6" s="9" t="b">
        <v>1</v>
      </c>
      <c r="B6" t="s">
        <v>507</v>
      </c>
      <c r="C6" t="s">
        <v>508</v>
      </c>
      <c r="D6" t="s">
        <v>509</v>
      </c>
      <c r="E6" t="s">
        <v>510</v>
      </c>
    </row>
    <row r="7" spans="1:5" x14ac:dyDescent="0.35">
      <c r="A7" s="9" t="b">
        <v>1</v>
      </c>
      <c r="B7" t="s">
        <v>666</v>
      </c>
      <c r="C7" t="s">
        <v>669</v>
      </c>
      <c r="D7" t="s">
        <v>667</v>
      </c>
      <c r="E7" t="s">
        <v>668</v>
      </c>
    </row>
    <row r="8" spans="1:5" x14ac:dyDescent="0.35">
      <c r="A8" s="9" t="b">
        <v>1</v>
      </c>
      <c r="B8" t="s">
        <v>211</v>
      </c>
      <c r="D8" t="s">
        <v>167</v>
      </c>
      <c r="E8" t="s">
        <v>168</v>
      </c>
    </row>
    <row r="9" spans="1:5" x14ac:dyDescent="0.35">
      <c r="A9" s="9" t="b">
        <v>1</v>
      </c>
      <c r="B9" t="s">
        <v>700</v>
      </c>
      <c r="C9" t="s">
        <v>701</v>
      </c>
      <c r="D9" t="s">
        <v>702</v>
      </c>
      <c r="E9" t="s">
        <v>703</v>
      </c>
    </row>
    <row r="10" spans="1:5" x14ac:dyDescent="0.35">
      <c r="A10" s="9" t="b">
        <v>1</v>
      </c>
      <c r="B10" t="s">
        <v>882</v>
      </c>
      <c r="D10" t="s">
        <v>880</v>
      </c>
      <c r="E10" t="s">
        <v>881</v>
      </c>
    </row>
    <row r="11" spans="1:5" x14ac:dyDescent="0.35">
      <c r="A11" s="9" t="b">
        <v>1</v>
      </c>
      <c r="B11" t="s">
        <v>307</v>
      </c>
      <c r="D11" t="s">
        <v>306</v>
      </c>
      <c r="E11" t="s">
        <v>308</v>
      </c>
    </row>
    <row r="12" spans="1:5" x14ac:dyDescent="0.35">
      <c r="A12" s="9" t="b">
        <v>1</v>
      </c>
      <c r="B12" t="s">
        <v>555</v>
      </c>
      <c r="C12" t="s">
        <v>556</v>
      </c>
      <c r="D12" t="s">
        <v>557</v>
      </c>
      <c r="E12" t="s">
        <v>558</v>
      </c>
    </row>
    <row r="13" spans="1:5" x14ac:dyDescent="0.35">
      <c r="A13" s="9" t="b">
        <v>1</v>
      </c>
      <c r="B13" t="s">
        <v>672</v>
      </c>
      <c r="C13" t="s">
        <v>673</v>
      </c>
      <c r="D13" t="s">
        <v>674</v>
      </c>
      <c r="E13" t="s">
        <v>675</v>
      </c>
    </row>
    <row r="14" spans="1:5" x14ac:dyDescent="0.35">
      <c r="A14" s="9" t="b">
        <v>1</v>
      </c>
      <c r="B14" t="s">
        <v>672</v>
      </c>
      <c r="C14" t="s">
        <v>682</v>
      </c>
      <c r="D14" t="s">
        <v>683</v>
      </c>
      <c r="E14" t="s">
        <v>684</v>
      </c>
    </row>
    <row r="15" spans="1:5" x14ac:dyDescent="0.35">
      <c r="A15" s="9" t="b">
        <v>1</v>
      </c>
      <c r="B15" t="s">
        <v>712</v>
      </c>
      <c r="C15" t="s">
        <v>713</v>
      </c>
      <c r="D15" t="s">
        <v>714</v>
      </c>
      <c r="E15" t="s">
        <v>715</v>
      </c>
    </row>
    <row r="16" spans="1:5" x14ac:dyDescent="0.35">
      <c r="A16" s="9" t="b">
        <v>1</v>
      </c>
      <c r="B16" t="s">
        <v>718</v>
      </c>
      <c r="C16" t="s">
        <v>719</v>
      </c>
      <c r="D16" t="s">
        <v>720</v>
      </c>
      <c r="E16" t="s">
        <v>721</v>
      </c>
    </row>
    <row r="17" spans="1:5" x14ac:dyDescent="0.35">
      <c r="A17" s="9" t="b">
        <v>1</v>
      </c>
      <c r="B17" t="s">
        <v>552</v>
      </c>
      <c r="D17" t="s">
        <v>553</v>
      </c>
      <c r="E17" t="s">
        <v>554</v>
      </c>
    </row>
    <row r="18" spans="1:5" x14ac:dyDescent="0.35">
      <c r="A18" s="9" t="b">
        <v>1</v>
      </c>
      <c r="B18" t="s">
        <v>737</v>
      </c>
      <c r="C18" t="s">
        <v>739</v>
      </c>
      <c r="D18" t="s">
        <v>738</v>
      </c>
      <c r="E18" t="s">
        <v>740</v>
      </c>
    </row>
    <row r="19" spans="1:5" x14ac:dyDescent="0.35">
      <c r="A19" s="9" t="b">
        <v>1</v>
      </c>
      <c r="B19" t="s">
        <v>79</v>
      </c>
      <c r="C19" t="s">
        <v>209</v>
      </c>
      <c r="D19" t="s">
        <v>76</v>
      </c>
      <c r="E19" t="s">
        <v>77</v>
      </c>
    </row>
    <row r="20" spans="1:5" x14ac:dyDescent="0.35">
      <c r="A20" s="9" t="b">
        <v>1</v>
      </c>
      <c r="B20" t="s">
        <v>79</v>
      </c>
      <c r="C20" t="s">
        <v>379</v>
      </c>
      <c r="D20" t="s">
        <v>380</v>
      </c>
      <c r="E20" t="s">
        <v>381</v>
      </c>
    </row>
    <row r="21" spans="1:5" x14ac:dyDescent="0.35">
      <c r="A21" s="9" t="b">
        <v>1</v>
      </c>
      <c r="B21" t="s">
        <v>696</v>
      </c>
      <c r="C21" t="s">
        <v>697</v>
      </c>
      <c r="D21" t="s">
        <v>699</v>
      </c>
      <c r="E21" t="s">
        <v>698</v>
      </c>
    </row>
    <row r="22" spans="1:5" x14ac:dyDescent="0.35">
      <c r="A22" s="9" t="b">
        <v>1</v>
      </c>
      <c r="B22" t="s">
        <v>472</v>
      </c>
      <c r="D22" t="s">
        <v>473</v>
      </c>
      <c r="E22" t="s">
        <v>474</v>
      </c>
    </row>
    <row r="23" spans="1:5" x14ac:dyDescent="0.35">
      <c r="A23" s="9" t="b">
        <v>1</v>
      </c>
      <c r="B23" s="4" t="s">
        <v>210</v>
      </c>
      <c r="C23" s="4" t="s">
        <v>520</v>
      </c>
      <c r="D23" t="s">
        <v>90</v>
      </c>
      <c r="E23" t="s">
        <v>91</v>
      </c>
    </row>
    <row r="24" spans="1:5" x14ac:dyDescent="0.35">
      <c r="A24" s="9" t="b">
        <v>1</v>
      </c>
      <c r="B24" t="s">
        <v>336</v>
      </c>
      <c r="C24" t="s">
        <v>519</v>
      </c>
      <c r="D24" t="s">
        <v>337</v>
      </c>
      <c r="E24" t="s">
        <v>338</v>
      </c>
    </row>
    <row r="25" spans="1:5" x14ac:dyDescent="0.35">
      <c r="A25" s="9" t="b">
        <v>1</v>
      </c>
      <c r="B25" t="s">
        <v>336</v>
      </c>
      <c r="C25" t="s">
        <v>518</v>
      </c>
      <c r="D25" t="s">
        <v>521</v>
      </c>
      <c r="E25" t="s">
        <v>522</v>
      </c>
    </row>
    <row r="26" spans="1:5" x14ac:dyDescent="0.35">
      <c r="A26" s="9" t="b">
        <v>1</v>
      </c>
      <c r="B26" t="s">
        <v>879</v>
      </c>
      <c r="C26" t="s">
        <v>536</v>
      </c>
      <c r="D26" t="s">
        <v>877</v>
      </c>
      <c r="E26" t="s">
        <v>878</v>
      </c>
    </row>
    <row r="27" spans="1:5" x14ac:dyDescent="0.35">
      <c r="A27" s="9" t="b">
        <v>1</v>
      </c>
      <c r="B27" t="s">
        <v>314</v>
      </c>
      <c r="C27" t="s">
        <v>315</v>
      </c>
      <c r="D27" t="s">
        <v>316</v>
      </c>
      <c r="E27" t="s">
        <v>317</v>
      </c>
    </row>
    <row r="28" spans="1:5" x14ac:dyDescent="0.35">
      <c r="A28" s="9" t="b">
        <v>1</v>
      </c>
      <c r="B28" t="s">
        <v>322</v>
      </c>
      <c r="C28" t="s">
        <v>323</v>
      </c>
      <c r="D28" t="s">
        <v>324</v>
      </c>
      <c r="E28" t="s">
        <v>325</v>
      </c>
    </row>
    <row r="29" spans="1:5" x14ac:dyDescent="0.35">
      <c r="A29" s="9" t="b">
        <v>1</v>
      </c>
      <c r="B29" t="s">
        <v>742</v>
      </c>
      <c r="D29" t="s">
        <v>741</v>
      </c>
      <c r="E29" t="s">
        <v>743</v>
      </c>
    </row>
    <row r="30" spans="1:5" x14ac:dyDescent="0.35">
      <c r="A30" s="9" t="b">
        <v>0</v>
      </c>
      <c r="B30" t="s">
        <v>745</v>
      </c>
      <c r="C30" t="s">
        <v>746</v>
      </c>
      <c r="D30" t="s">
        <v>744</v>
      </c>
      <c r="E30" t="s">
        <v>750</v>
      </c>
    </row>
    <row r="31" spans="1:5" x14ac:dyDescent="0.35">
      <c r="A31" s="9" t="b">
        <v>0</v>
      </c>
      <c r="B31" t="s">
        <v>748</v>
      </c>
      <c r="C31" t="s">
        <v>746</v>
      </c>
      <c r="D31" t="s">
        <v>747</v>
      </c>
      <c r="E31" t="s">
        <v>749</v>
      </c>
    </row>
    <row r="32" spans="1:5" x14ac:dyDescent="0.35">
      <c r="A32" s="9" t="b">
        <v>0</v>
      </c>
      <c r="B32" t="s">
        <v>753</v>
      </c>
      <c r="C32" t="s">
        <v>218</v>
      </c>
      <c r="D32" t="s">
        <v>751</v>
      </c>
      <c r="E32" t="s">
        <v>752</v>
      </c>
    </row>
    <row r="33" spans="1:5" x14ac:dyDescent="0.35">
      <c r="A33" s="9" t="b">
        <v>1</v>
      </c>
      <c r="B33" t="s">
        <v>555</v>
      </c>
      <c r="C33" t="s">
        <v>755</v>
      </c>
      <c r="D33" t="s">
        <v>754</v>
      </c>
      <c r="E33" t="s">
        <v>756</v>
      </c>
    </row>
    <row r="34" spans="1:5" x14ac:dyDescent="0.35">
      <c r="A34" s="9" t="b">
        <v>1</v>
      </c>
      <c r="B34" t="s">
        <v>892</v>
      </c>
      <c r="D34" t="s">
        <v>893</v>
      </c>
      <c r="E34" t="s">
        <v>894</v>
      </c>
    </row>
    <row r="35" spans="1:5" x14ac:dyDescent="0.35">
      <c r="A35" s="9" t="b">
        <v>0</v>
      </c>
    </row>
    <row r="36" spans="1:5" x14ac:dyDescent="0.35">
      <c r="A36" s="9" t="b">
        <v>0</v>
      </c>
    </row>
    <row r="37" spans="1:5" x14ac:dyDescent="0.35">
      <c r="A37" s="9" t="b">
        <v>0</v>
      </c>
    </row>
    <row r="38" spans="1:5" x14ac:dyDescent="0.35">
      <c r="A38" s="9" t="b">
        <v>0</v>
      </c>
    </row>
    <row r="39" spans="1:5" x14ac:dyDescent="0.35">
      <c r="A39" s="9" t="b">
        <v>0</v>
      </c>
    </row>
    <row r="40" spans="1:5" x14ac:dyDescent="0.35">
      <c r="A40" s="9" t="b">
        <v>0</v>
      </c>
    </row>
    <row r="41" spans="1:5" x14ac:dyDescent="0.35">
      <c r="A41" s="9" t="b">
        <v>0</v>
      </c>
    </row>
    <row r="42" spans="1:5" x14ac:dyDescent="0.35">
      <c r="A42" s="9" t="b">
        <v>0</v>
      </c>
    </row>
    <row r="43" spans="1:5" x14ac:dyDescent="0.35">
      <c r="A43" s="9" t="b">
        <v>0</v>
      </c>
    </row>
    <row r="44" spans="1:5" x14ac:dyDescent="0.35">
      <c r="A44" s="9" t="b">
        <v>0</v>
      </c>
    </row>
    <row r="45" spans="1:5" x14ac:dyDescent="0.35">
      <c r="A45" s="9" t="b">
        <v>0</v>
      </c>
    </row>
    <row r="46" spans="1:5" x14ac:dyDescent="0.35">
      <c r="A46" s="9" t="b">
        <v>0</v>
      </c>
    </row>
    <row r="47" spans="1:5" x14ac:dyDescent="0.35">
      <c r="A47" s="9" t="b">
        <v>0</v>
      </c>
    </row>
    <row r="48" spans="1:5" x14ac:dyDescent="0.35">
      <c r="A48" s="9" t="b">
        <v>0</v>
      </c>
    </row>
    <row r="49" spans="1:1" x14ac:dyDescent="0.35">
      <c r="A49" s="9" t="b">
        <v>0</v>
      </c>
    </row>
    <row r="50" spans="1:1" x14ac:dyDescent="0.35">
      <c r="A50" s="9" t="b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81E30-EE7D-41F0-A52A-2E2ED23F3E7D}">
  <dimension ref="A1:I50"/>
  <sheetViews>
    <sheetView tabSelected="1" zoomScale="90" workbookViewId="0">
      <selection activeCell="A12" sqref="A12"/>
    </sheetView>
  </sheetViews>
  <sheetFormatPr defaultColWidth="0" defaultRowHeight="14.5" customHeight="1" zeroHeight="1" x14ac:dyDescent="0.35"/>
  <cols>
    <col min="1" max="3" width="17.08984375" customWidth="1"/>
    <col min="4" max="4" width="15.7265625" customWidth="1"/>
    <col min="5" max="5" width="19.54296875" customWidth="1"/>
    <col min="6" max="6" width="31.54296875" customWidth="1"/>
    <col min="7" max="8" width="8.7265625" hidden="1" customWidth="1"/>
    <col min="9" max="9" width="0" hidden="1" customWidth="1"/>
    <col min="10" max="16384" width="8.7265625" hidden="1"/>
  </cols>
  <sheetData>
    <row r="1" spans="1:6" s="6" customFormat="1" x14ac:dyDescent="0.35">
      <c r="A1" s="6" t="s">
        <v>197</v>
      </c>
      <c r="B1" s="6" t="s">
        <v>888</v>
      </c>
      <c r="C1" s="6" t="s">
        <v>246</v>
      </c>
      <c r="D1" s="6" t="s">
        <v>83</v>
      </c>
      <c r="E1" s="6" t="s">
        <v>2</v>
      </c>
      <c r="F1" s="6" t="s">
        <v>31</v>
      </c>
    </row>
    <row r="2" spans="1:6" x14ac:dyDescent="0.35">
      <c r="A2" s="9" t="b">
        <v>1</v>
      </c>
      <c r="B2" t="s">
        <v>244</v>
      </c>
      <c r="C2" t="s">
        <v>245</v>
      </c>
      <c r="D2" t="s">
        <v>247</v>
      </c>
      <c r="F2" t="s">
        <v>248</v>
      </c>
    </row>
    <row r="3" spans="1:6" x14ac:dyDescent="0.35">
      <c r="A3" s="9" t="b">
        <v>1</v>
      </c>
      <c r="B3" t="s">
        <v>244</v>
      </c>
      <c r="C3" t="s">
        <v>250</v>
      </c>
      <c r="D3" t="s">
        <v>249</v>
      </c>
      <c r="E3" t="s">
        <v>251</v>
      </c>
      <c r="F3" t="s">
        <v>252</v>
      </c>
    </row>
    <row r="4" spans="1:6" x14ac:dyDescent="0.35">
      <c r="A4" s="9" t="b">
        <v>1</v>
      </c>
      <c r="B4" t="s">
        <v>244</v>
      </c>
      <c r="C4" t="s">
        <v>253</v>
      </c>
      <c r="D4" t="s">
        <v>247</v>
      </c>
      <c r="F4" t="s">
        <v>254</v>
      </c>
    </row>
    <row r="5" spans="1:6" x14ac:dyDescent="0.35">
      <c r="A5" s="9" t="b">
        <v>1</v>
      </c>
      <c r="B5" t="s">
        <v>255</v>
      </c>
      <c r="C5" t="s">
        <v>256</v>
      </c>
      <c r="D5" t="s">
        <v>255</v>
      </c>
      <c r="F5" t="s">
        <v>257</v>
      </c>
    </row>
    <row r="6" spans="1:6" x14ac:dyDescent="0.35">
      <c r="A6" s="9" t="b">
        <v>1</v>
      </c>
      <c r="B6" t="s">
        <v>403</v>
      </c>
      <c r="C6" t="s">
        <v>404</v>
      </c>
      <c r="D6" t="s">
        <v>405</v>
      </c>
      <c r="E6" t="s">
        <v>406</v>
      </c>
    </row>
    <row r="7" spans="1:6" x14ac:dyDescent="0.35">
      <c r="A7" s="9" t="b">
        <v>0</v>
      </c>
      <c r="B7" t="s">
        <v>433</v>
      </c>
      <c r="C7" t="s">
        <v>434</v>
      </c>
      <c r="D7" t="s">
        <v>435</v>
      </c>
      <c r="E7" t="s">
        <v>436</v>
      </c>
    </row>
    <row r="8" spans="1:6" ht="14.5" customHeight="1" x14ac:dyDescent="0.35">
      <c r="A8" s="9" t="b">
        <v>1</v>
      </c>
      <c r="B8" t="s">
        <v>817</v>
      </c>
      <c r="C8" t="s">
        <v>818</v>
      </c>
      <c r="D8" t="s">
        <v>819</v>
      </c>
      <c r="F8" t="s">
        <v>816</v>
      </c>
    </row>
    <row r="9" spans="1:6" ht="14.5" customHeight="1" x14ac:dyDescent="0.35">
      <c r="A9" s="9" t="b">
        <v>0</v>
      </c>
      <c r="B9" t="s">
        <v>825</v>
      </c>
      <c r="C9" t="s">
        <v>824</v>
      </c>
      <c r="D9" t="s">
        <v>823</v>
      </c>
    </row>
    <row r="10" spans="1:6" ht="14.5" customHeight="1" x14ac:dyDescent="0.35">
      <c r="A10" s="9" t="b">
        <v>1</v>
      </c>
      <c r="B10" t="s">
        <v>830</v>
      </c>
      <c r="C10" t="s">
        <v>831</v>
      </c>
      <c r="D10" t="s">
        <v>833</v>
      </c>
      <c r="E10" t="s">
        <v>832</v>
      </c>
    </row>
    <row r="11" spans="1:6" ht="14.5" customHeight="1" x14ac:dyDescent="0.35">
      <c r="A11" s="9" t="b">
        <v>1</v>
      </c>
      <c r="B11" t="s">
        <v>889</v>
      </c>
      <c r="C11" t="s">
        <v>887</v>
      </c>
      <c r="D11" t="s">
        <v>890</v>
      </c>
      <c r="E11" t="s">
        <v>887</v>
      </c>
      <c r="F11" t="s">
        <v>891</v>
      </c>
    </row>
    <row r="12" spans="1:6" ht="14.5" customHeight="1" x14ac:dyDescent="0.35">
      <c r="A12" s="9" t="b">
        <v>1</v>
      </c>
      <c r="B12" t="s">
        <v>899</v>
      </c>
      <c r="C12" t="s">
        <v>900</v>
      </c>
      <c r="D12" t="s">
        <v>900</v>
      </c>
      <c r="E12" t="s">
        <v>202</v>
      </c>
    </row>
    <row r="13" spans="1:6" ht="14.5" customHeight="1" x14ac:dyDescent="0.35">
      <c r="A13" s="9" t="b">
        <v>0</v>
      </c>
    </row>
    <row r="14" spans="1:6" ht="14.5" customHeight="1" x14ac:dyDescent="0.35">
      <c r="A14" s="9" t="b">
        <v>0</v>
      </c>
    </row>
    <row r="15" spans="1:6" ht="14.5" customHeight="1" x14ac:dyDescent="0.35">
      <c r="A15" s="9" t="b">
        <v>0</v>
      </c>
    </row>
    <row r="16" spans="1:6" ht="14.5" customHeight="1" x14ac:dyDescent="0.35">
      <c r="A16" s="9" t="b">
        <v>0</v>
      </c>
    </row>
    <row r="17" spans="1:1" ht="14.5" customHeight="1" x14ac:dyDescent="0.35">
      <c r="A17" s="9" t="b">
        <v>0</v>
      </c>
    </row>
    <row r="18" spans="1:1" ht="14.5" customHeight="1" x14ac:dyDescent="0.35">
      <c r="A18" s="9" t="b">
        <v>0</v>
      </c>
    </row>
    <row r="19" spans="1:1" ht="14.5" customHeight="1" x14ac:dyDescent="0.35">
      <c r="A19" s="9" t="b">
        <v>0</v>
      </c>
    </row>
    <row r="20" spans="1:1" ht="14.5" customHeight="1" x14ac:dyDescent="0.35">
      <c r="A20" s="9" t="b">
        <v>0</v>
      </c>
    </row>
    <row r="21" spans="1:1" ht="14.5" customHeight="1" x14ac:dyDescent="0.35">
      <c r="A21" s="9" t="b">
        <v>0</v>
      </c>
    </row>
    <row r="22" spans="1:1" ht="14.5" customHeight="1" x14ac:dyDescent="0.35">
      <c r="A22" s="9" t="b">
        <v>0</v>
      </c>
    </row>
    <row r="23" spans="1:1" ht="14.5" customHeight="1" x14ac:dyDescent="0.35">
      <c r="A23" s="9" t="b">
        <v>0</v>
      </c>
    </row>
    <row r="24" spans="1:1" ht="14.5" customHeight="1" x14ac:dyDescent="0.35">
      <c r="A24" s="9" t="b">
        <v>0</v>
      </c>
    </row>
    <row r="25" spans="1:1" ht="14.5" customHeight="1" x14ac:dyDescent="0.35">
      <c r="A25" s="9" t="b">
        <v>0</v>
      </c>
    </row>
    <row r="26" spans="1:1" ht="14.5" customHeight="1" x14ac:dyDescent="0.35">
      <c r="A26" s="9" t="b">
        <v>0</v>
      </c>
    </row>
    <row r="27" spans="1:1" ht="14.5" customHeight="1" x14ac:dyDescent="0.35">
      <c r="A27" s="9" t="b">
        <v>0</v>
      </c>
    </row>
    <row r="28" spans="1:1" ht="14.5" customHeight="1" x14ac:dyDescent="0.35">
      <c r="A28" s="9" t="b">
        <v>0</v>
      </c>
    </row>
    <row r="29" spans="1:1" ht="14.5" customHeight="1" x14ac:dyDescent="0.35">
      <c r="A29" s="9" t="b">
        <v>0</v>
      </c>
    </row>
    <row r="30" spans="1:1" ht="14.5" customHeight="1" x14ac:dyDescent="0.35">
      <c r="A30" s="9" t="b">
        <v>0</v>
      </c>
    </row>
    <row r="31" spans="1:1" ht="14.5" customHeight="1" x14ac:dyDescent="0.35">
      <c r="A31" s="9" t="b">
        <v>0</v>
      </c>
    </row>
    <row r="32" spans="1:1" ht="14.5" customHeight="1" x14ac:dyDescent="0.35">
      <c r="A32" s="9" t="b">
        <v>0</v>
      </c>
    </row>
    <row r="33" spans="1:1" ht="14.5" customHeight="1" x14ac:dyDescent="0.35">
      <c r="A33" s="9" t="b">
        <v>0</v>
      </c>
    </row>
    <row r="34" spans="1:1" ht="14.5" customHeight="1" x14ac:dyDescent="0.35">
      <c r="A34" s="9" t="b">
        <v>0</v>
      </c>
    </row>
    <row r="35" spans="1:1" ht="14.5" customHeight="1" x14ac:dyDescent="0.35">
      <c r="A35" s="9" t="b">
        <v>0</v>
      </c>
    </row>
    <row r="36" spans="1:1" ht="14.5" customHeight="1" x14ac:dyDescent="0.35">
      <c r="A36" s="9" t="b">
        <v>0</v>
      </c>
    </row>
    <row r="37" spans="1:1" ht="14.5" customHeight="1" x14ac:dyDescent="0.35">
      <c r="A37" s="9" t="b">
        <v>0</v>
      </c>
    </row>
    <row r="38" spans="1:1" ht="14.5" customHeight="1" x14ac:dyDescent="0.35">
      <c r="A38" s="9" t="b">
        <v>0</v>
      </c>
    </row>
    <row r="39" spans="1:1" ht="14.5" customHeight="1" x14ac:dyDescent="0.35">
      <c r="A39" s="9" t="b">
        <v>0</v>
      </c>
    </row>
    <row r="40" spans="1:1" ht="14.5" customHeight="1" x14ac:dyDescent="0.35">
      <c r="A40" s="9" t="b">
        <v>0</v>
      </c>
    </row>
    <row r="41" spans="1:1" ht="14.5" customHeight="1" x14ac:dyDescent="0.35">
      <c r="A41" s="9" t="b">
        <v>0</v>
      </c>
    </row>
    <row r="42" spans="1:1" ht="14.5" customHeight="1" x14ac:dyDescent="0.35">
      <c r="A42" s="9" t="b">
        <v>0</v>
      </c>
    </row>
    <row r="43" spans="1:1" ht="14.5" customHeight="1" x14ac:dyDescent="0.35">
      <c r="A43" s="9" t="b">
        <v>0</v>
      </c>
    </row>
    <row r="44" spans="1:1" ht="14.5" customHeight="1" x14ac:dyDescent="0.35">
      <c r="A44" s="9" t="b">
        <v>0</v>
      </c>
    </row>
    <row r="45" spans="1:1" ht="14.5" customHeight="1" x14ac:dyDescent="0.35">
      <c r="A45" s="9" t="b">
        <v>0</v>
      </c>
    </row>
    <row r="46" spans="1:1" ht="14.5" customHeight="1" x14ac:dyDescent="0.35">
      <c r="A46" s="9" t="b">
        <v>0</v>
      </c>
    </row>
    <row r="47" spans="1:1" ht="14.5" customHeight="1" x14ac:dyDescent="0.35">
      <c r="A47" s="9" t="b">
        <v>0</v>
      </c>
    </row>
    <row r="48" spans="1:1" ht="14.5" customHeight="1" x14ac:dyDescent="0.35">
      <c r="A48" s="9" t="b">
        <v>0</v>
      </c>
    </row>
    <row r="49" spans="1:1" ht="14.5" customHeight="1" x14ac:dyDescent="0.35">
      <c r="A49" s="9" t="b">
        <v>0</v>
      </c>
    </row>
    <row r="50" spans="1:1" ht="14.5" customHeight="1" x14ac:dyDescent="0.35">
      <c r="A50" s="9" t="b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5741A-82C1-4BD2-8BEF-3B31C5127744}">
  <dimension ref="A1:E11"/>
  <sheetViews>
    <sheetView zoomScale="116" workbookViewId="0">
      <selection activeCell="B7" sqref="B7"/>
    </sheetView>
  </sheetViews>
  <sheetFormatPr defaultColWidth="0" defaultRowHeight="14.5" zeroHeight="1" x14ac:dyDescent="0.35"/>
  <cols>
    <col min="1" max="1" width="18.453125" style="3" customWidth="1"/>
    <col min="2" max="2" width="21.7265625" style="3" customWidth="1"/>
    <col min="3" max="3" width="14.453125" style="3" customWidth="1"/>
    <col min="4" max="4" width="15.1796875" style="3" customWidth="1"/>
    <col min="5" max="5" width="54.36328125" style="3" customWidth="1"/>
    <col min="6" max="16384" width="8.7265625" style="3" hidden="1"/>
  </cols>
  <sheetData>
    <row r="1" spans="1:5" x14ac:dyDescent="0.35">
      <c r="A1" s="3" t="s">
        <v>197</v>
      </c>
      <c r="B1" s="3" t="s">
        <v>2</v>
      </c>
      <c r="C1" s="3" t="s">
        <v>3</v>
      </c>
      <c r="D1" s="3" t="s">
        <v>43</v>
      </c>
      <c r="E1" s="3" t="s">
        <v>31</v>
      </c>
    </row>
    <row r="2" spans="1:5" x14ac:dyDescent="0.35">
      <c r="A2" s="10" t="b">
        <v>1</v>
      </c>
      <c r="B2" s="3" t="s">
        <v>44</v>
      </c>
      <c r="C2" s="3" t="s">
        <v>23</v>
      </c>
      <c r="D2" s="3">
        <v>30</v>
      </c>
      <c r="E2" s="3" t="s">
        <v>191</v>
      </c>
    </row>
    <row r="3" spans="1:5" x14ac:dyDescent="0.35">
      <c r="A3" s="10" t="b">
        <v>0</v>
      </c>
    </row>
    <row r="4" spans="1:5" x14ac:dyDescent="0.35">
      <c r="A4" s="10" t="b">
        <v>0</v>
      </c>
    </row>
    <row r="5" spans="1:5" x14ac:dyDescent="0.35">
      <c r="A5" s="10" t="b">
        <v>0</v>
      </c>
    </row>
    <row r="6" spans="1:5" x14ac:dyDescent="0.35">
      <c r="A6" s="10" t="b">
        <v>0</v>
      </c>
    </row>
    <row r="7" spans="1:5" x14ac:dyDescent="0.35">
      <c r="A7" s="10" t="b">
        <v>0</v>
      </c>
    </row>
    <row r="8" spans="1:5" x14ac:dyDescent="0.35">
      <c r="A8" s="10" t="b">
        <v>0</v>
      </c>
    </row>
    <row r="9" spans="1:5" x14ac:dyDescent="0.35">
      <c r="A9" s="10" t="b">
        <v>0</v>
      </c>
    </row>
    <row r="10" spans="1:5" x14ac:dyDescent="0.35">
      <c r="A10" s="10" t="b">
        <v>0</v>
      </c>
    </row>
    <row r="11" spans="1:5" x14ac:dyDescent="0.35">
      <c r="A11" s="10" t="b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82E7-D1DD-4AAD-BE98-FD2EBFF08ED8}">
  <dimension ref="A1:J10"/>
  <sheetViews>
    <sheetView zoomScale="101" workbookViewId="0">
      <selection activeCell="A4" sqref="A4"/>
    </sheetView>
  </sheetViews>
  <sheetFormatPr defaultColWidth="0" defaultRowHeight="14.5" zeroHeight="1" x14ac:dyDescent="0.35"/>
  <cols>
    <col min="1" max="3" width="17" customWidth="1"/>
    <col min="4" max="4" width="16" customWidth="1"/>
    <col min="5" max="5" width="10" customWidth="1"/>
    <col min="6" max="7" width="13" customWidth="1"/>
    <col min="8" max="8" width="16.90625" customWidth="1"/>
    <col min="9" max="9" width="26.7265625" customWidth="1"/>
    <col min="10" max="10" width="0" hidden="1" customWidth="1"/>
    <col min="11" max="16384" width="8.7265625" hidden="1"/>
  </cols>
  <sheetData>
    <row r="1" spans="1:9" x14ac:dyDescent="0.35">
      <c r="A1" s="7" t="s">
        <v>197</v>
      </c>
      <c r="B1" s="7" t="s">
        <v>83</v>
      </c>
      <c r="C1" s="7" t="s">
        <v>277</v>
      </c>
      <c r="D1" s="7" t="s">
        <v>30</v>
      </c>
      <c r="E1" s="7" t="s">
        <v>3</v>
      </c>
      <c r="F1" s="7" t="s">
        <v>1</v>
      </c>
      <c r="G1" s="7" t="s">
        <v>280</v>
      </c>
      <c r="H1" s="7" t="s">
        <v>283</v>
      </c>
      <c r="I1" s="7" t="s">
        <v>31</v>
      </c>
    </row>
    <row r="2" spans="1:9" x14ac:dyDescent="0.35">
      <c r="A2" s="9" t="b">
        <v>1</v>
      </c>
      <c r="B2" t="s">
        <v>122</v>
      </c>
      <c r="C2" t="s">
        <v>202</v>
      </c>
      <c r="D2" t="s">
        <v>33</v>
      </c>
      <c r="E2">
        <v>1812</v>
      </c>
      <c r="F2" t="s">
        <v>34</v>
      </c>
      <c r="H2" t="s">
        <v>126</v>
      </c>
      <c r="I2" t="s">
        <v>32</v>
      </c>
    </row>
    <row r="3" spans="1:9" x14ac:dyDescent="0.35">
      <c r="A3" s="9" t="b">
        <v>1</v>
      </c>
      <c r="B3" t="s">
        <v>115</v>
      </c>
      <c r="C3" t="s">
        <v>278</v>
      </c>
      <c r="E3" t="s">
        <v>125</v>
      </c>
      <c r="H3" t="s">
        <v>124</v>
      </c>
      <c r="I3" t="s">
        <v>123</v>
      </c>
    </row>
    <row r="4" spans="1:9" x14ac:dyDescent="0.35">
      <c r="A4" s="9" t="b">
        <v>1</v>
      </c>
      <c r="B4" t="s">
        <v>115</v>
      </c>
      <c r="C4" t="s">
        <v>279</v>
      </c>
      <c r="E4" t="s">
        <v>125</v>
      </c>
      <c r="F4" t="s">
        <v>281</v>
      </c>
      <c r="G4" t="s">
        <v>282</v>
      </c>
      <c r="H4">
        <v>3568</v>
      </c>
      <c r="I4" t="s">
        <v>284</v>
      </c>
    </row>
    <row r="5" spans="1:9" x14ac:dyDescent="0.35">
      <c r="A5" s="9" t="b">
        <v>0</v>
      </c>
    </row>
    <row r="6" spans="1:9" x14ac:dyDescent="0.35">
      <c r="A6" s="9" t="b">
        <v>0</v>
      </c>
    </row>
    <row r="7" spans="1:9" x14ac:dyDescent="0.35">
      <c r="A7" s="9" t="b">
        <v>0</v>
      </c>
    </row>
    <row r="8" spans="1:9" x14ac:dyDescent="0.35">
      <c r="A8" s="9" t="b">
        <v>0</v>
      </c>
    </row>
    <row r="9" spans="1:9" x14ac:dyDescent="0.35">
      <c r="A9" s="9" t="b">
        <v>0</v>
      </c>
    </row>
    <row r="10" spans="1:9" x14ac:dyDescent="0.35">
      <c r="A10" s="9" t="b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DCFA9-0ACD-44E9-B5AC-404F4D59A007}">
  <dimension ref="A1:F11"/>
  <sheetViews>
    <sheetView workbookViewId="0">
      <selection activeCell="A8" sqref="A8"/>
    </sheetView>
  </sheetViews>
  <sheetFormatPr defaultColWidth="0" defaultRowHeight="14.5" zeroHeight="1" x14ac:dyDescent="0.35"/>
  <cols>
    <col min="1" max="1" width="15.54296875" style="3" customWidth="1"/>
    <col min="2" max="3" width="15.6328125" style="3" customWidth="1"/>
    <col min="4" max="4" width="22.1796875" style="3" customWidth="1"/>
    <col min="5" max="5" width="32" style="3" customWidth="1"/>
    <col min="6" max="6" width="45.81640625" style="3" customWidth="1"/>
    <col min="7" max="16384" width="8.7265625" style="3" hidden="1"/>
  </cols>
  <sheetData>
    <row r="1" spans="1:6" x14ac:dyDescent="0.35">
      <c r="A1" s="3" t="s">
        <v>197</v>
      </c>
      <c r="B1" s="3" t="s">
        <v>45</v>
      </c>
      <c r="C1" s="3" t="s">
        <v>280</v>
      </c>
      <c r="D1" s="3" t="s">
        <v>3</v>
      </c>
      <c r="E1" s="3" t="s">
        <v>2</v>
      </c>
      <c r="F1" s="3" t="s">
        <v>31</v>
      </c>
    </row>
    <row r="2" spans="1:6" x14ac:dyDescent="0.35">
      <c r="A2" s="10" t="b">
        <v>1</v>
      </c>
      <c r="B2" s="3" t="s">
        <v>46</v>
      </c>
      <c r="C2" s="3" t="s">
        <v>851</v>
      </c>
      <c r="D2" s="3" t="s">
        <v>213</v>
      </c>
      <c r="E2" s="3" t="s">
        <v>48</v>
      </c>
      <c r="F2" s="3" t="s">
        <v>47</v>
      </c>
    </row>
    <row r="3" spans="1:6" x14ac:dyDescent="0.35">
      <c r="A3" s="10" t="b">
        <v>1</v>
      </c>
      <c r="B3" s="3" t="s">
        <v>129</v>
      </c>
      <c r="D3" s="3" t="s">
        <v>212</v>
      </c>
      <c r="E3" s="3" t="s">
        <v>127</v>
      </c>
      <c r="F3" s="3" t="s">
        <v>128</v>
      </c>
    </row>
    <row r="4" spans="1:6" x14ac:dyDescent="0.35">
      <c r="A4" s="10" t="b">
        <v>1</v>
      </c>
      <c r="B4" s="3" t="s">
        <v>302</v>
      </c>
      <c r="D4" s="3" t="s">
        <v>303</v>
      </c>
      <c r="E4" s="3" t="s">
        <v>304</v>
      </c>
      <c r="F4" s="3" t="s">
        <v>305</v>
      </c>
    </row>
    <row r="5" spans="1:6" x14ac:dyDescent="0.35">
      <c r="A5" s="10" t="b">
        <v>1</v>
      </c>
      <c r="B5" s="3" t="s">
        <v>655</v>
      </c>
      <c r="D5" s="3" t="s">
        <v>656</v>
      </c>
      <c r="E5" s="3" t="s">
        <v>657</v>
      </c>
      <c r="F5" s="3" t="s">
        <v>658</v>
      </c>
    </row>
    <row r="6" spans="1:6" x14ac:dyDescent="0.35">
      <c r="A6" s="10" t="b">
        <v>1</v>
      </c>
      <c r="B6" s="3" t="s">
        <v>423</v>
      </c>
      <c r="D6" s="3" t="s">
        <v>213</v>
      </c>
      <c r="E6" s="3" t="s">
        <v>685</v>
      </c>
      <c r="F6" s="3" t="s">
        <v>686</v>
      </c>
    </row>
    <row r="7" spans="1:6" x14ac:dyDescent="0.35">
      <c r="A7" s="10" t="b">
        <v>1</v>
      </c>
      <c r="B7" s="3" t="s">
        <v>46</v>
      </c>
      <c r="C7" s="3" t="s">
        <v>847</v>
      </c>
      <c r="D7" s="3" t="s">
        <v>850</v>
      </c>
      <c r="E7" s="3" t="s">
        <v>848</v>
      </c>
      <c r="F7" s="3" t="s">
        <v>849</v>
      </c>
    </row>
    <row r="8" spans="1:6" x14ac:dyDescent="0.35">
      <c r="A8" s="10" t="b">
        <v>1</v>
      </c>
      <c r="B8" s="3" t="s">
        <v>869</v>
      </c>
      <c r="C8" s="3" t="s">
        <v>870</v>
      </c>
      <c r="D8" s="3" t="s">
        <v>871</v>
      </c>
      <c r="E8" s="3" t="s">
        <v>873</v>
      </c>
      <c r="F8" s="3" t="s">
        <v>872</v>
      </c>
    </row>
    <row r="9" spans="1:6" x14ac:dyDescent="0.35">
      <c r="A9" s="10" t="b">
        <v>0</v>
      </c>
    </row>
    <row r="10" spans="1:6" x14ac:dyDescent="0.35">
      <c r="A10" s="10" t="b">
        <v>0</v>
      </c>
    </row>
    <row r="11" spans="1:6" x14ac:dyDescent="0.35">
      <c r="A11" s="10" t="b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2198B-44BD-4E55-B62E-439143EC0CFE}">
  <dimension ref="A1:H20"/>
  <sheetViews>
    <sheetView topLeftCell="A3" workbookViewId="0">
      <selection activeCell="E18" sqref="E18"/>
    </sheetView>
  </sheetViews>
  <sheetFormatPr defaultColWidth="0" defaultRowHeight="14.5" zeroHeight="1" x14ac:dyDescent="0.35"/>
  <cols>
    <col min="1" max="2" width="18" customWidth="1"/>
    <col min="3" max="3" width="8.7265625" customWidth="1"/>
    <col min="4" max="4" width="16.36328125" customWidth="1"/>
    <col min="5" max="5" width="14.36328125" style="3" customWidth="1"/>
    <col min="6" max="6" width="17.453125" customWidth="1"/>
    <col min="7" max="7" width="31.81640625" customWidth="1"/>
    <col min="8" max="8" width="43.26953125" customWidth="1"/>
    <col min="9" max="16384" width="8.7265625" hidden="1"/>
  </cols>
  <sheetData>
    <row r="1" spans="1:8" x14ac:dyDescent="0.35">
      <c r="A1" t="s">
        <v>197</v>
      </c>
      <c r="B1" t="s">
        <v>83</v>
      </c>
      <c r="C1" t="s">
        <v>18</v>
      </c>
      <c r="D1" t="s">
        <v>192</v>
      </c>
      <c r="E1" s="3" t="s">
        <v>3</v>
      </c>
      <c r="F1" t="s">
        <v>20</v>
      </c>
      <c r="G1" t="s">
        <v>2</v>
      </c>
      <c r="H1" t="s">
        <v>31</v>
      </c>
    </row>
    <row r="2" spans="1:8" x14ac:dyDescent="0.35">
      <c r="A2" s="9" t="b">
        <v>1</v>
      </c>
      <c r="B2" t="s">
        <v>358</v>
      </c>
      <c r="C2" t="s">
        <v>19</v>
      </c>
      <c r="D2" t="s">
        <v>103</v>
      </c>
      <c r="E2" s="3" t="s">
        <v>23</v>
      </c>
      <c r="F2" t="s">
        <v>21</v>
      </c>
      <c r="G2" t="s">
        <v>22</v>
      </c>
    </row>
    <row r="3" spans="1:8" x14ac:dyDescent="0.35">
      <c r="A3" s="9" t="b">
        <v>1</v>
      </c>
      <c r="B3" t="s">
        <v>358</v>
      </c>
      <c r="C3" t="s">
        <v>24</v>
      </c>
      <c r="D3" t="s">
        <v>103</v>
      </c>
      <c r="E3" s="3" t="s">
        <v>23</v>
      </c>
      <c r="F3" t="s">
        <v>21</v>
      </c>
      <c r="G3" t="s">
        <v>25</v>
      </c>
    </row>
    <row r="4" spans="1:8" x14ac:dyDescent="0.35">
      <c r="A4" s="9" t="b">
        <v>1</v>
      </c>
      <c r="B4" t="s">
        <v>358</v>
      </c>
      <c r="C4" t="s">
        <v>26</v>
      </c>
      <c r="D4" t="s">
        <v>103</v>
      </c>
      <c r="E4" s="3" t="s">
        <v>23</v>
      </c>
      <c r="F4" t="s">
        <v>21</v>
      </c>
      <c r="G4" t="s">
        <v>27</v>
      </c>
    </row>
    <row r="5" spans="1:8" x14ac:dyDescent="0.35">
      <c r="A5" s="9" t="b">
        <v>1</v>
      </c>
      <c r="B5" t="s">
        <v>358</v>
      </c>
      <c r="C5" t="s">
        <v>29</v>
      </c>
      <c r="D5" t="s">
        <v>103</v>
      </c>
      <c r="E5" s="3" t="s">
        <v>23</v>
      </c>
      <c r="F5" t="s">
        <v>21</v>
      </c>
      <c r="G5" t="s">
        <v>28</v>
      </c>
    </row>
    <row r="6" spans="1:8" x14ac:dyDescent="0.35">
      <c r="A6" s="9" t="b">
        <v>1</v>
      </c>
      <c r="B6" t="s">
        <v>358</v>
      </c>
      <c r="C6" t="s">
        <v>19</v>
      </c>
      <c r="D6" t="s">
        <v>125</v>
      </c>
      <c r="E6" s="3" t="s">
        <v>353</v>
      </c>
      <c r="F6" t="s">
        <v>21</v>
      </c>
      <c r="G6" t="s">
        <v>354</v>
      </c>
    </row>
    <row r="7" spans="1:8" x14ac:dyDescent="0.35">
      <c r="A7" s="9" t="b">
        <v>1</v>
      </c>
      <c r="B7" t="s">
        <v>357</v>
      </c>
      <c r="C7" t="s">
        <v>361</v>
      </c>
      <c r="D7" t="s">
        <v>103</v>
      </c>
      <c r="E7" s="3" t="s">
        <v>359</v>
      </c>
      <c r="F7" t="s">
        <v>360</v>
      </c>
      <c r="G7">
        <v>16347</v>
      </c>
      <c r="H7" t="s">
        <v>362</v>
      </c>
    </row>
    <row r="8" spans="1:8" x14ac:dyDescent="0.35">
      <c r="A8" s="9" t="b">
        <v>1</v>
      </c>
      <c r="B8" t="s">
        <v>358</v>
      </c>
      <c r="C8" t="s">
        <v>26</v>
      </c>
      <c r="D8" t="s">
        <v>125</v>
      </c>
      <c r="E8" s="3" t="s">
        <v>353</v>
      </c>
      <c r="F8" t="s">
        <v>21</v>
      </c>
      <c r="G8" t="s">
        <v>411</v>
      </c>
    </row>
    <row r="9" spans="1:8" x14ac:dyDescent="0.35">
      <c r="A9" s="9" t="b">
        <v>1</v>
      </c>
      <c r="B9" t="s">
        <v>358</v>
      </c>
      <c r="C9" t="s">
        <v>415</v>
      </c>
      <c r="D9" t="s">
        <v>125</v>
      </c>
      <c r="E9" s="3" t="s">
        <v>353</v>
      </c>
      <c r="F9" t="s">
        <v>21</v>
      </c>
      <c r="G9" t="s">
        <v>416</v>
      </c>
    </row>
    <row r="10" spans="1:8" x14ac:dyDescent="0.35">
      <c r="A10" s="9" t="b">
        <v>1</v>
      </c>
      <c r="B10" t="s">
        <v>358</v>
      </c>
      <c r="C10" t="s">
        <v>24</v>
      </c>
      <c r="D10" t="s">
        <v>125</v>
      </c>
      <c r="E10" s="3" t="s">
        <v>353</v>
      </c>
      <c r="F10" t="s">
        <v>21</v>
      </c>
      <c r="G10" t="s">
        <v>432</v>
      </c>
    </row>
    <row r="11" spans="1:8" x14ac:dyDescent="0.35">
      <c r="A11" s="9" t="b">
        <v>1</v>
      </c>
      <c r="B11" s="9" t="s">
        <v>591</v>
      </c>
      <c r="C11" t="s">
        <v>361</v>
      </c>
      <c r="D11" t="s">
        <v>103</v>
      </c>
      <c r="E11" s="3" t="s">
        <v>592</v>
      </c>
      <c r="F11" t="s">
        <v>21</v>
      </c>
      <c r="G11" t="s">
        <v>593</v>
      </c>
      <c r="H11" t="s">
        <v>594</v>
      </c>
    </row>
    <row r="12" spans="1:8" x14ac:dyDescent="0.35">
      <c r="A12" s="9" t="b">
        <v>1</v>
      </c>
      <c r="B12" t="s">
        <v>708</v>
      </c>
      <c r="C12" t="s">
        <v>415</v>
      </c>
      <c r="D12" t="s">
        <v>103</v>
      </c>
      <c r="E12" s="3" t="s">
        <v>709</v>
      </c>
      <c r="F12" t="s">
        <v>360</v>
      </c>
      <c r="G12" t="s">
        <v>710</v>
      </c>
      <c r="H12" t="s">
        <v>711</v>
      </c>
    </row>
    <row r="13" spans="1:8" x14ac:dyDescent="0.35">
      <c r="A13" s="9" t="b">
        <v>0</v>
      </c>
    </row>
    <row r="14" spans="1:8" x14ac:dyDescent="0.35">
      <c r="A14" s="9" t="b">
        <v>0</v>
      </c>
    </row>
    <row r="15" spans="1:8" x14ac:dyDescent="0.35">
      <c r="A15" s="9" t="b">
        <v>0</v>
      </c>
    </row>
    <row r="16" spans="1:8" x14ac:dyDescent="0.35">
      <c r="A16" s="9" t="b">
        <v>0</v>
      </c>
    </row>
    <row r="17" spans="1:1" x14ac:dyDescent="0.35">
      <c r="A17" s="9" t="b">
        <v>0</v>
      </c>
    </row>
    <row r="18" spans="1:1" x14ac:dyDescent="0.35">
      <c r="A18" s="9" t="b">
        <v>0</v>
      </c>
    </row>
    <row r="19" spans="1:1" x14ac:dyDescent="0.35">
      <c r="A19" s="9" t="b">
        <v>0</v>
      </c>
    </row>
    <row r="20" spans="1:1" x14ac:dyDescent="0.35">
      <c r="A20" s="9" t="b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1A110-D627-46EF-8744-E79E320771F1}">
  <dimension ref="A1:G10"/>
  <sheetViews>
    <sheetView zoomScale="124" workbookViewId="0">
      <selection activeCell="G3" sqref="G3"/>
    </sheetView>
  </sheetViews>
  <sheetFormatPr defaultColWidth="0" defaultRowHeight="14.5" zeroHeight="1" x14ac:dyDescent="0.35"/>
  <cols>
    <col min="1" max="1" width="16" customWidth="1"/>
    <col min="2" max="6" width="20.6328125" customWidth="1"/>
    <col min="7" max="7" width="55.36328125" customWidth="1"/>
    <col min="8" max="16384" width="8.7265625" hidden="1"/>
  </cols>
  <sheetData>
    <row r="1" spans="1:7" x14ac:dyDescent="0.35">
      <c r="A1" s="20" t="s">
        <v>197</v>
      </c>
      <c r="B1" s="20" t="s">
        <v>270</v>
      </c>
      <c r="C1" s="20" t="s">
        <v>269</v>
      </c>
      <c r="D1" s="20" t="s">
        <v>271</v>
      </c>
      <c r="E1" s="20" t="s">
        <v>268</v>
      </c>
      <c r="F1" s="20" t="s">
        <v>2</v>
      </c>
      <c r="G1" s="20" t="s">
        <v>31</v>
      </c>
    </row>
    <row r="2" spans="1:7" x14ac:dyDescent="0.35">
      <c r="A2" s="9" t="b">
        <v>1</v>
      </c>
      <c r="B2" t="s">
        <v>273</v>
      </c>
      <c r="C2" t="s">
        <v>274</v>
      </c>
      <c r="D2" t="s">
        <v>216</v>
      </c>
      <c r="E2" t="s">
        <v>272</v>
      </c>
      <c r="F2" t="s">
        <v>275</v>
      </c>
      <c r="G2" t="s">
        <v>276</v>
      </c>
    </row>
    <row r="3" spans="1:7" x14ac:dyDescent="0.35">
      <c r="A3" s="9" t="b">
        <v>1</v>
      </c>
      <c r="B3" s="4" t="s">
        <v>451</v>
      </c>
      <c r="C3" s="4" t="s">
        <v>450</v>
      </c>
      <c r="D3" s="4" t="s">
        <v>452</v>
      </c>
      <c r="E3" s="4" t="s">
        <v>453</v>
      </c>
      <c r="F3" t="s">
        <v>454</v>
      </c>
      <c r="G3" t="s">
        <v>455</v>
      </c>
    </row>
    <row r="4" spans="1:7" x14ac:dyDescent="0.35">
      <c r="A4" s="9" t="b">
        <v>0</v>
      </c>
    </row>
    <row r="5" spans="1:7" x14ac:dyDescent="0.35">
      <c r="A5" s="9" t="b">
        <v>0</v>
      </c>
    </row>
    <row r="6" spans="1:7" x14ac:dyDescent="0.35">
      <c r="A6" s="9" t="b">
        <v>0</v>
      </c>
    </row>
    <row r="7" spans="1:7" x14ac:dyDescent="0.35">
      <c r="A7" s="9" t="b">
        <v>0</v>
      </c>
    </row>
    <row r="8" spans="1:7" x14ac:dyDescent="0.35">
      <c r="A8" s="9" t="b">
        <v>0</v>
      </c>
    </row>
    <row r="9" spans="1:7" x14ac:dyDescent="0.35">
      <c r="A9" s="9" t="b">
        <v>0</v>
      </c>
    </row>
    <row r="10" spans="1:7" x14ac:dyDescent="0.35">
      <c r="A10" s="9" t="b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EE80-6917-43D6-8B0A-D27EC0A92AF4}">
  <dimension ref="A1:D13"/>
  <sheetViews>
    <sheetView workbookViewId="0">
      <selection activeCell="A9" sqref="A9"/>
    </sheetView>
  </sheetViews>
  <sheetFormatPr defaultColWidth="0" defaultRowHeight="14.5" zeroHeight="1" x14ac:dyDescent="0.35"/>
  <cols>
    <col min="1" max="1" width="17" customWidth="1"/>
    <col min="2" max="2" width="17.7265625" customWidth="1"/>
    <col min="3" max="3" width="24" customWidth="1"/>
    <col min="4" max="4" width="37.08984375" customWidth="1"/>
    <col min="5" max="16384" width="8.7265625" hidden="1"/>
  </cols>
  <sheetData>
    <row r="1" spans="1:4" x14ac:dyDescent="0.35">
      <c r="A1" t="s">
        <v>197</v>
      </c>
      <c r="B1" t="s">
        <v>78</v>
      </c>
      <c r="C1" t="s">
        <v>2</v>
      </c>
      <c r="D1" t="s">
        <v>31</v>
      </c>
    </row>
    <row r="2" spans="1:4" x14ac:dyDescent="0.35">
      <c r="A2" s="9" t="b">
        <v>1</v>
      </c>
      <c r="B2" t="s">
        <v>232</v>
      </c>
      <c r="C2" t="s">
        <v>233</v>
      </c>
      <c r="D2" t="s">
        <v>234</v>
      </c>
    </row>
    <row r="3" spans="1:4" x14ac:dyDescent="0.35">
      <c r="A3" s="9" t="b">
        <v>1</v>
      </c>
      <c r="B3" t="s">
        <v>258</v>
      </c>
      <c r="C3" t="s">
        <v>202</v>
      </c>
      <c r="D3" t="s">
        <v>231</v>
      </c>
    </row>
    <row r="4" spans="1:4" x14ac:dyDescent="0.35">
      <c r="A4" s="9" t="b">
        <v>1</v>
      </c>
      <c r="B4" t="s">
        <v>132</v>
      </c>
      <c r="C4" t="s">
        <v>133</v>
      </c>
      <c r="D4" t="s">
        <v>134</v>
      </c>
    </row>
    <row r="5" spans="1:4" x14ac:dyDescent="0.35">
      <c r="A5" s="9" t="b">
        <v>1</v>
      </c>
      <c r="B5" t="s">
        <v>132</v>
      </c>
      <c r="C5" t="s">
        <v>259</v>
      </c>
      <c r="D5" t="s">
        <v>260</v>
      </c>
    </row>
    <row r="6" spans="1:4" x14ac:dyDescent="0.35">
      <c r="A6" s="9" t="b">
        <v>1</v>
      </c>
      <c r="B6" t="s">
        <v>376</v>
      </c>
      <c r="C6" t="s">
        <v>377</v>
      </c>
      <c r="D6" t="s">
        <v>378</v>
      </c>
    </row>
    <row r="7" spans="1:4" x14ac:dyDescent="0.35">
      <c r="A7" s="9" t="b">
        <v>1</v>
      </c>
      <c r="B7" t="s">
        <v>500</v>
      </c>
      <c r="C7" t="s">
        <v>501</v>
      </c>
      <c r="D7" t="s">
        <v>502</v>
      </c>
    </row>
    <row r="8" spans="1:4" x14ac:dyDescent="0.35">
      <c r="A8" s="9" t="b">
        <v>1</v>
      </c>
      <c r="B8" t="s">
        <v>232</v>
      </c>
      <c r="C8" t="s">
        <v>581</v>
      </c>
      <c r="D8" t="s">
        <v>582</v>
      </c>
    </row>
    <row r="9" spans="1:4" x14ac:dyDescent="0.35">
      <c r="A9" s="9" t="b">
        <v>1</v>
      </c>
      <c r="B9" t="s">
        <v>232</v>
      </c>
      <c r="C9" t="s">
        <v>588</v>
      </c>
      <c r="D9" t="s">
        <v>589</v>
      </c>
    </row>
    <row r="10" spans="1:4" x14ac:dyDescent="0.35">
      <c r="A10" s="9" t="b">
        <v>0</v>
      </c>
    </row>
    <row r="11" spans="1:4" x14ac:dyDescent="0.35">
      <c r="A11" s="9" t="b">
        <v>0</v>
      </c>
    </row>
    <row r="12" spans="1:4" x14ac:dyDescent="0.35">
      <c r="A12" s="9" t="b">
        <v>0</v>
      </c>
    </row>
    <row r="13" spans="1:4" x14ac:dyDescent="0.35">
      <c r="A13" s="9" t="b">
        <v>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86CF3-50F4-4B19-99AD-AF8E53CE9DBA}">
  <dimension ref="A1:I11"/>
  <sheetViews>
    <sheetView workbookViewId="0">
      <selection activeCell="B4" sqref="B4"/>
    </sheetView>
  </sheetViews>
  <sheetFormatPr defaultColWidth="0" defaultRowHeight="14.5" customHeight="1" zeroHeight="1" x14ac:dyDescent="0.35"/>
  <cols>
    <col min="1" max="2" width="15.54296875" style="3" customWidth="1"/>
    <col min="3" max="3" width="21.1796875" style="3" customWidth="1"/>
    <col min="4" max="4" width="10.6328125" style="3" customWidth="1"/>
    <col min="5" max="5" width="20.6328125" style="3" customWidth="1"/>
    <col min="6" max="7" width="15.6328125" style="3" customWidth="1"/>
    <col min="8" max="8" width="45.81640625" style="3" customWidth="1"/>
    <col min="9" max="9" width="0" style="3" hidden="1" customWidth="1"/>
    <col min="10" max="16384" width="8.7265625" style="3" hidden="1"/>
  </cols>
  <sheetData>
    <row r="1" spans="1:8" s="23" customFormat="1" x14ac:dyDescent="0.35">
      <c r="A1" s="23" t="s">
        <v>197</v>
      </c>
      <c r="B1" s="23" t="s">
        <v>83</v>
      </c>
      <c r="C1" s="23" t="s">
        <v>80</v>
      </c>
      <c r="D1" s="23" t="s">
        <v>484</v>
      </c>
      <c r="E1" s="23" t="s">
        <v>486</v>
      </c>
      <c r="F1" s="23" t="s">
        <v>488</v>
      </c>
      <c r="G1" s="23" t="s">
        <v>489</v>
      </c>
      <c r="H1" s="23" t="s">
        <v>31</v>
      </c>
    </row>
    <row r="2" spans="1:8" x14ac:dyDescent="0.35">
      <c r="A2" s="10" t="b">
        <v>1</v>
      </c>
      <c r="B2" s="3" t="s">
        <v>115</v>
      </c>
      <c r="C2" s="3" t="s">
        <v>258</v>
      </c>
      <c r="D2" s="3" t="s">
        <v>485</v>
      </c>
      <c r="E2" s="3" t="s">
        <v>487</v>
      </c>
      <c r="F2" s="3" t="s">
        <v>490</v>
      </c>
      <c r="G2" s="3" t="s">
        <v>490</v>
      </c>
      <c r="H2" s="3" t="s">
        <v>494</v>
      </c>
    </row>
    <row r="3" spans="1:8" x14ac:dyDescent="0.35">
      <c r="A3" s="10" t="b">
        <v>1</v>
      </c>
      <c r="B3" s="3" t="s">
        <v>482</v>
      </c>
      <c r="C3" s="3" t="s">
        <v>483</v>
      </c>
      <c r="D3" s="3" t="s">
        <v>485</v>
      </c>
      <c r="E3" s="3" t="s">
        <v>491</v>
      </c>
      <c r="F3" s="3" t="s">
        <v>492</v>
      </c>
      <c r="G3" s="3" t="s">
        <v>492</v>
      </c>
      <c r="H3" s="3" t="s">
        <v>493</v>
      </c>
    </row>
    <row r="4" spans="1:8" x14ac:dyDescent="0.35">
      <c r="A4" s="10" t="b">
        <v>0</v>
      </c>
    </row>
    <row r="5" spans="1:8" x14ac:dyDescent="0.35">
      <c r="A5" s="10" t="b">
        <v>0</v>
      </c>
    </row>
    <row r="6" spans="1:8" x14ac:dyDescent="0.35">
      <c r="A6" s="10" t="b">
        <v>0</v>
      </c>
    </row>
    <row r="7" spans="1:8" x14ac:dyDescent="0.35">
      <c r="A7" s="10" t="b">
        <v>0</v>
      </c>
    </row>
    <row r="8" spans="1:8" x14ac:dyDescent="0.35">
      <c r="A8" s="10" t="b">
        <v>0</v>
      </c>
    </row>
    <row r="9" spans="1:8" x14ac:dyDescent="0.35">
      <c r="A9" s="10" t="b">
        <v>0</v>
      </c>
    </row>
    <row r="10" spans="1:8" x14ac:dyDescent="0.35">
      <c r="A10" s="10" t="b">
        <v>0</v>
      </c>
    </row>
    <row r="11" spans="1:8" x14ac:dyDescent="0.35">
      <c r="A11" s="10" t="b">
        <v>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8675A-C2E2-4804-A061-74EF114D288F}">
  <dimension ref="A1:J11"/>
  <sheetViews>
    <sheetView zoomScale="113" workbookViewId="0">
      <selection activeCell="D9" sqref="D9"/>
    </sheetView>
  </sheetViews>
  <sheetFormatPr defaultColWidth="0" defaultRowHeight="14.5" zeroHeight="1" x14ac:dyDescent="0.35"/>
  <cols>
    <col min="1" max="1" width="17.90625" style="14" customWidth="1"/>
    <col min="2" max="2" width="18.6328125" style="14" customWidth="1"/>
    <col min="3" max="8" width="11.7265625" style="14" customWidth="1"/>
    <col min="9" max="9" width="20.26953125" style="14" customWidth="1"/>
    <col min="10" max="10" width="34.36328125" style="14" customWidth="1"/>
    <col min="11" max="16384" width="8.7265625" style="14" hidden="1"/>
  </cols>
  <sheetData>
    <row r="1" spans="1:10" x14ac:dyDescent="0.35">
      <c r="A1" s="14" t="s">
        <v>197</v>
      </c>
      <c r="B1" s="14" t="s">
        <v>80</v>
      </c>
      <c r="C1" s="14" t="s">
        <v>214</v>
      </c>
      <c r="D1" s="14" t="s">
        <v>217</v>
      </c>
      <c r="E1" s="14" t="s">
        <v>216</v>
      </c>
      <c r="F1" s="14" t="s">
        <v>218</v>
      </c>
      <c r="G1" s="14" t="s">
        <v>219</v>
      </c>
      <c r="H1" s="14" t="s">
        <v>220</v>
      </c>
      <c r="I1" s="14" t="s">
        <v>2</v>
      </c>
      <c r="J1" s="14" t="s">
        <v>31</v>
      </c>
    </row>
    <row r="2" spans="1:10" x14ac:dyDescent="0.35">
      <c r="A2" s="13" t="b">
        <v>1</v>
      </c>
      <c r="B2" s="14" t="s">
        <v>215</v>
      </c>
      <c r="C2" s="14">
        <v>30</v>
      </c>
      <c r="D2" s="14">
        <v>2</v>
      </c>
      <c r="E2" s="14">
        <v>2</v>
      </c>
      <c r="F2" s="14">
        <v>2</v>
      </c>
      <c r="G2" s="14">
        <v>24</v>
      </c>
      <c r="H2" s="14">
        <v>1</v>
      </c>
      <c r="I2" s="14" t="s">
        <v>221</v>
      </c>
    </row>
    <row r="3" spans="1:10" x14ac:dyDescent="0.35">
      <c r="A3" s="13" t="b">
        <v>1</v>
      </c>
      <c r="B3" s="14" t="s">
        <v>81</v>
      </c>
      <c r="C3" s="14">
        <v>48</v>
      </c>
      <c r="D3" s="14">
        <v>2</v>
      </c>
      <c r="E3" s="14">
        <v>2</v>
      </c>
      <c r="F3" s="14">
        <v>2</v>
      </c>
      <c r="G3" s="14">
        <v>24</v>
      </c>
      <c r="H3" s="14">
        <v>1</v>
      </c>
      <c r="I3" s="14" t="s">
        <v>82</v>
      </c>
    </row>
    <row r="4" spans="1:10" x14ac:dyDescent="0.35">
      <c r="A4" s="13" t="b">
        <v>0</v>
      </c>
    </row>
    <row r="5" spans="1:10" x14ac:dyDescent="0.35">
      <c r="A5" s="13" t="b">
        <v>0</v>
      </c>
    </row>
    <row r="6" spans="1:10" x14ac:dyDescent="0.35">
      <c r="A6" s="13" t="b">
        <v>0</v>
      </c>
    </row>
    <row r="7" spans="1:10" x14ac:dyDescent="0.35">
      <c r="A7" s="13" t="b">
        <v>0</v>
      </c>
    </row>
    <row r="8" spans="1:10" x14ac:dyDescent="0.35">
      <c r="A8" s="13" t="b">
        <v>0</v>
      </c>
    </row>
    <row r="9" spans="1:10" x14ac:dyDescent="0.35">
      <c r="A9" s="13" t="b">
        <v>0</v>
      </c>
    </row>
    <row r="10" spans="1:10" x14ac:dyDescent="0.35">
      <c r="A10" s="13" t="b">
        <v>0</v>
      </c>
    </row>
    <row r="11" spans="1:10" x14ac:dyDescent="0.35">
      <c r="A11" s="13" t="b">
        <v>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3385E-A93D-4809-A6CB-D5FDE97D6171}">
  <dimension ref="A1:H100"/>
  <sheetViews>
    <sheetView topLeftCell="A25" zoomScale="118" workbookViewId="0">
      <selection activeCell="A49" sqref="A49"/>
    </sheetView>
  </sheetViews>
  <sheetFormatPr defaultColWidth="0" defaultRowHeight="14.5" zeroHeight="1" x14ac:dyDescent="0.35"/>
  <cols>
    <col min="1" max="1" width="17.1796875" style="19" customWidth="1"/>
    <col min="2" max="2" width="14.6328125" customWidth="1"/>
    <col min="3" max="3" width="9.7265625" customWidth="1"/>
    <col min="4" max="4" width="11.1796875" style="3" customWidth="1"/>
    <col min="5" max="5" width="10" style="3" customWidth="1"/>
    <col min="6" max="6" width="9.7265625" style="3" customWidth="1"/>
    <col min="7" max="7" width="24.453125" style="3" customWidth="1"/>
    <col min="8" max="8" width="31.26953125" style="3" customWidth="1"/>
    <col min="9" max="16384" width="8.7265625" style="3" hidden="1"/>
  </cols>
  <sheetData>
    <row r="1" spans="1:8" x14ac:dyDescent="0.35">
      <c r="A1" s="8" t="s">
        <v>197</v>
      </c>
      <c r="B1" s="8" t="s">
        <v>43</v>
      </c>
      <c r="C1" s="8" t="s">
        <v>222</v>
      </c>
      <c r="D1" s="8" t="s">
        <v>49</v>
      </c>
      <c r="E1" s="8" t="s">
        <v>3</v>
      </c>
      <c r="F1" s="8" t="s">
        <v>50</v>
      </c>
      <c r="G1" s="8" t="s">
        <v>2</v>
      </c>
      <c r="H1" s="8" t="s">
        <v>31</v>
      </c>
    </row>
    <row r="2" spans="1:8" x14ac:dyDescent="0.35">
      <c r="A2" s="18" t="b">
        <v>1</v>
      </c>
      <c r="B2" s="15">
        <v>10</v>
      </c>
      <c r="C2" s="17">
        <f t="shared" ref="C2:C33" si="0">IF(ISNUMBER(B2),
IF(B2=0,"",B2),
VALUE(LEFT(B2,LEN(B2)-1))*
IF(RIGHT(B2,1)="k",1000,
IF(RIGHT(B2,1)="M",1000000,
IF(RIGHT(B2,1)="m",0.001,1))))</f>
        <v>10</v>
      </c>
      <c r="D2" s="16" t="s">
        <v>136</v>
      </c>
      <c r="E2" s="16" t="s">
        <v>125</v>
      </c>
      <c r="F2" s="16" t="s">
        <v>261</v>
      </c>
      <c r="G2" s="16" t="s">
        <v>425</v>
      </c>
      <c r="H2" s="16" t="s">
        <v>426</v>
      </c>
    </row>
    <row r="3" spans="1:8" x14ac:dyDescent="0.35">
      <c r="A3" s="18" t="b">
        <v>1</v>
      </c>
      <c r="B3" s="15">
        <v>27</v>
      </c>
      <c r="C3" s="17">
        <f t="shared" si="0"/>
        <v>27</v>
      </c>
      <c r="D3" s="16" t="s">
        <v>52</v>
      </c>
      <c r="E3" s="16" t="s">
        <v>8</v>
      </c>
      <c r="F3" s="16" t="s">
        <v>193</v>
      </c>
      <c r="G3" s="16" t="s">
        <v>55</v>
      </c>
      <c r="H3" s="16" t="s">
        <v>56</v>
      </c>
    </row>
    <row r="4" spans="1:8" x14ac:dyDescent="0.35">
      <c r="A4" s="18" t="b">
        <v>1</v>
      </c>
      <c r="B4" s="15">
        <v>33</v>
      </c>
      <c r="C4" s="17">
        <f t="shared" si="0"/>
        <v>33</v>
      </c>
      <c r="D4" s="16" t="s">
        <v>62</v>
      </c>
      <c r="E4" s="16" t="s">
        <v>8</v>
      </c>
      <c r="F4" s="16" t="s">
        <v>63</v>
      </c>
      <c r="G4" s="16" t="s">
        <v>60</v>
      </c>
      <c r="H4" s="16" t="s">
        <v>61</v>
      </c>
    </row>
    <row r="5" spans="1:8" x14ac:dyDescent="0.35">
      <c r="A5" s="18" t="b">
        <v>1</v>
      </c>
      <c r="B5" s="15">
        <v>100</v>
      </c>
      <c r="C5" s="17">
        <f t="shared" si="0"/>
        <v>100</v>
      </c>
      <c r="D5" s="16" t="s">
        <v>52</v>
      </c>
      <c r="E5" s="16" t="s">
        <v>8</v>
      </c>
      <c r="F5" s="16" t="s">
        <v>193</v>
      </c>
      <c r="G5" s="16" t="s">
        <v>235</v>
      </c>
      <c r="H5" s="16" t="s">
        <v>236</v>
      </c>
    </row>
    <row r="6" spans="1:8" x14ac:dyDescent="0.35">
      <c r="A6" s="18" t="b">
        <v>1</v>
      </c>
      <c r="B6" s="15">
        <v>120</v>
      </c>
      <c r="C6" s="17">
        <f t="shared" si="0"/>
        <v>120</v>
      </c>
      <c r="D6" s="16" t="s">
        <v>52</v>
      </c>
      <c r="E6" s="16" t="s">
        <v>8</v>
      </c>
      <c r="F6" s="16" t="s">
        <v>193</v>
      </c>
      <c r="G6" s="16" t="s">
        <v>537</v>
      </c>
      <c r="H6" s="16" t="s">
        <v>538</v>
      </c>
    </row>
    <row r="7" spans="1:8" x14ac:dyDescent="0.35">
      <c r="A7" s="18" t="b">
        <v>1</v>
      </c>
      <c r="B7" s="15">
        <v>220</v>
      </c>
      <c r="C7" s="17">
        <f t="shared" si="0"/>
        <v>220</v>
      </c>
      <c r="D7" s="16" t="s">
        <v>136</v>
      </c>
      <c r="E7" s="16" t="s">
        <v>8</v>
      </c>
      <c r="F7" s="16" t="s">
        <v>137</v>
      </c>
      <c r="G7" s="16" t="s">
        <v>599</v>
      </c>
      <c r="H7" s="16" t="s">
        <v>600</v>
      </c>
    </row>
    <row r="8" spans="1:8" x14ac:dyDescent="0.35">
      <c r="A8" s="18" t="b">
        <v>1</v>
      </c>
      <c r="B8" s="15">
        <v>220</v>
      </c>
      <c r="C8" s="17">
        <f t="shared" si="0"/>
        <v>220</v>
      </c>
      <c r="D8" s="16" t="s">
        <v>52</v>
      </c>
      <c r="E8" s="16" t="s">
        <v>23</v>
      </c>
      <c r="F8" s="16" t="s">
        <v>137</v>
      </c>
      <c r="G8" s="16" t="s">
        <v>164</v>
      </c>
      <c r="H8" s="16" t="s">
        <v>163</v>
      </c>
    </row>
    <row r="9" spans="1:8" x14ac:dyDescent="0.35">
      <c r="A9" s="18" t="b">
        <v>1</v>
      </c>
      <c r="B9" s="15">
        <v>220</v>
      </c>
      <c r="C9" s="17">
        <f t="shared" si="0"/>
        <v>220</v>
      </c>
      <c r="D9" s="16" t="s">
        <v>136</v>
      </c>
      <c r="E9" s="16" t="s">
        <v>125</v>
      </c>
      <c r="F9" s="16" t="s">
        <v>261</v>
      </c>
      <c r="G9" s="16" t="s">
        <v>355</v>
      </c>
      <c r="H9" s="16" t="s">
        <v>356</v>
      </c>
    </row>
    <row r="10" spans="1:8" x14ac:dyDescent="0.35">
      <c r="A10" s="18" t="b">
        <v>1</v>
      </c>
      <c r="B10" s="15">
        <v>680</v>
      </c>
      <c r="C10" s="17">
        <f t="shared" si="0"/>
        <v>680</v>
      </c>
      <c r="D10" s="16" t="s">
        <v>52</v>
      </c>
      <c r="E10" s="16" t="s">
        <v>8</v>
      </c>
      <c r="F10" s="16" t="s">
        <v>137</v>
      </c>
      <c r="G10" s="16" t="s">
        <v>440</v>
      </c>
      <c r="H10" s="16" t="s">
        <v>441</v>
      </c>
    </row>
    <row r="11" spans="1:8" x14ac:dyDescent="0.35">
      <c r="A11" s="18" t="b">
        <v>1</v>
      </c>
      <c r="B11" s="15" t="s">
        <v>59</v>
      </c>
      <c r="C11" s="17">
        <f t="shared" si="0"/>
        <v>1000</v>
      </c>
      <c r="D11" s="16" t="s">
        <v>52</v>
      </c>
      <c r="E11" s="16" t="s">
        <v>8</v>
      </c>
      <c r="F11" s="16" t="s">
        <v>193</v>
      </c>
      <c r="G11" s="16" t="s">
        <v>57</v>
      </c>
      <c r="H11" s="16" t="s">
        <v>58</v>
      </c>
    </row>
    <row r="12" spans="1:8" x14ac:dyDescent="0.35">
      <c r="A12" s="18" t="b">
        <v>1</v>
      </c>
      <c r="B12" s="15" t="s">
        <v>59</v>
      </c>
      <c r="C12" s="17">
        <f t="shared" si="0"/>
        <v>1000</v>
      </c>
      <c r="D12" s="16" t="s">
        <v>62</v>
      </c>
      <c r="E12" s="16" t="s">
        <v>23</v>
      </c>
      <c r="F12" s="16" t="s">
        <v>193</v>
      </c>
      <c r="G12" s="16" t="s">
        <v>130</v>
      </c>
      <c r="H12" s="16" t="s">
        <v>131</v>
      </c>
    </row>
    <row r="13" spans="1:8" x14ac:dyDescent="0.35">
      <c r="A13" s="18" t="b">
        <v>1</v>
      </c>
      <c r="B13" s="15" t="s">
        <v>458</v>
      </c>
      <c r="C13" s="17">
        <f t="shared" si="0"/>
        <v>1500</v>
      </c>
      <c r="D13" s="16" t="s">
        <v>52</v>
      </c>
      <c r="E13" s="16" t="s">
        <v>8</v>
      </c>
      <c r="F13" s="16" t="s">
        <v>193</v>
      </c>
      <c r="G13" s="16" t="s">
        <v>459</v>
      </c>
      <c r="H13" s="16" t="s">
        <v>460</v>
      </c>
    </row>
    <row r="14" spans="1:8" x14ac:dyDescent="0.35">
      <c r="A14" s="18" t="b">
        <v>1</v>
      </c>
      <c r="B14" s="15" t="s">
        <v>66</v>
      </c>
      <c r="C14" s="17">
        <f t="shared" si="0"/>
        <v>2000</v>
      </c>
      <c r="D14" s="16" t="s">
        <v>67</v>
      </c>
      <c r="E14" s="16" t="s">
        <v>8</v>
      </c>
      <c r="F14" s="16" t="s">
        <v>193</v>
      </c>
      <c r="G14" s="16" t="s">
        <v>64</v>
      </c>
      <c r="H14" s="16" t="s">
        <v>65</v>
      </c>
    </row>
    <row r="15" spans="1:8" x14ac:dyDescent="0.35">
      <c r="A15" s="18" t="b">
        <v>1</v>
      </c>
      <c r="B15" s="15" t="s">
        <v>368</v>
      </c>
      <c r="C15" s="17">
        <f t="shared" si="0"/>
        <v>3300</v>
      </c>
      <c r="D15" s="16" t="s">
        <v>52</v>
      </c>
      <c r="E15" s="16" t="s">
        <v>8</v>
      </c>
      <c r="F15" s="16" t="s">
        <v>193</v>
      </c>
      <c r="G15" s="16" t="s">
        <v>369</v>
      </c>
      <c r="H15" s="16" t="s">
        <v>370</v>
      </c>
    </row>
    <row r="16" spans="1:8" x14ac:dyDescent="0.35">
      <c r="A16" s="18" t="b">
        <v>1</v>
      </c>
      <c r="B16" s="15" t="s">
        <v>533</v>
      </c>
      <c r="C16" s="17">
        <f t="shared" si="0"/>
        <v>3480</v>
      </c>
      <c r="D16" s="16" t="s">
        <v>52</v>
      </c>
      <c r="E16" s="16" t="s">
        <v>8</v>
      </c>
      <c r="F16" s="16" t="s">
        <v>193</v>
      </c>
      <c r="G16" s="16" t="s">
        <v>534</v>
      </c>
      <c r="H16" s="16" t="s">
        <v>535</v>
      </c>
    </row>
    <row r="17" spans="1:8" x14ac:dyDescent="0.35">
      <c r="A17" s="18" t="b">
        <v>1</v>
      </c>
      <c r="B17" s="15" t="s">
        <v>51</v>
      </c>
      <c r="C17" s="17">
        <f t="shared" si="0"/>
        <v>5100</v>
      </c>
      <c r="D17" s="16" t="s">
        <v>52</v>
      </c>
      <c r="E17" s="16" t="s">
        <v>8</v>
      </c>
      <c r="F17" s="16" t="s">
        <v>193</v>
      </c>
      <c r="G17" s="16" t="s">
        <v>53</v>
      </c>
      <c r="H17" s="16" t="s">
        <v>54</v>
      </c>
    </row>
    <row r="18" spans="1:8" x14ac:dyDescent="0.35">
      <c r="A18" s="18" t="b">
        <v>1</v>
      </c>
      <c r="B18" s="15" t="s">
        <v>530</v>
      </c>
      <c r="C18" s="17">
        <f t="shared" si="0"/>
        <v>9090</v>
      </c>
      <c r="D18" s="16" t="s">
        <v>52</v>
      </c>
      <c r="E18" s="16" t="s">
        <v>8</v>
      </c>
      <c r="F18" s="16" t="s">
        <v>193</v>
      </c>
      <c r="G18" s="16" t="s">
        <v>531</v>
      </c>
      <c r="H18" s="16" t="s">
        <v>532</v>
      </c>
    </row>
    <row r="19" spans="1:8" x14ac:dyDescent="0.35">
      <c r="A19" s="18" t="b">
        <v>1</v>
      </c>
      <c r="B19" s="15" t="s">
        <v>135</v>
      </c>
      <c r="C19" s="17">
        <f t="shared" si="0"/>
        <v>10000</v>
      </c>
      <c r="D19" s="16" t="s">
        <v>136</v>
      </c>
      <c r="E19" s="16" t="s">
        <v>23</v>
      </c>
      <c r="F19" s="16" t="s">
        <v>137</v>
      </c>
      <c r="G19" s="16" t="s">
        <v>138</v>
      </c>
      <c r="H19" s="16" t="s">
        <v>139</v>
      </c>
    </row>
    <row r="20" spans="1:8" x14ac:dyDescent="0.35">
      <c r="A20" s="18" t="b">
        <v>1</v>
      </c>
      <c r="B20" s="15" t="s">
        <v>135</v>
      </c>
      <c r="C20" s="17">
        <f t="shared" si="0"/>
        <v>10000</v>
      </c>
      <c r="D20" s="16" t="s">
        <v>52</v>
      </c>
      <c r="E20" s="16" t="s">
        <v>8</v>
      </c>
      <c r="F20" s="16" t="s">
        <v>193</v>
      </c>
      <c r="G20" s="16" t="s">
        <v>388</v>
      </c>
      <c r="H20" s="16" t="s">
        <v>389</v>
      </c>
    </row>
    <row r="21" spans="1:8" x14ac:dyDescent="0.35">
      <c r="A21" s="18" t="b">
        <v>1</v>
      </c>
      <c r="B21" s="15" t="s">
        <v>437</v>
      </c>
      <c r="C21" s="17">
        <f t="shared" si="0"/>
        <v>15000</v>
      </c>
      <c r="D21" s="16" t="s">
        <v>52</v>
      </c>
      <c r="E21" s="16" t="s">
        <v>8</v>
      </c>
      <c r="F21" s="16" t="s">
        <v>137</v>
      </c>
      <c r="G21" s="16" t="s">
        <v>438</v>
      </c>
      <c r="H21" s="16" t="s">
        <v>439</v>
      </c>
    </row>
    <row r="22" spans="1:8" x14ac:dyDescent="0.35">
      <c r="A22" s="18" t="b">
        <v>1</v>
      </c>
      <c r="B22" s="15" t="s">
        <v>326</v>
      </c>
      <c r="C22" s="17">
        <f t="shared" si="0"/>
        <v>47000</v>
      </c>
      <c r="D22" s="16" t="s">
        <v>52</v>
      </c>
      <c r="E22" s="16" t="s">
        <v>8</v>
      </c>
      <c r="F22" s="16" t="s">
        <v>193</v>
      </c>
      <c r="G22" s="16" t="s">
        <v>327</v>
      </c>
      <c r="H22" s="16" t="s">
        <v>328</v>
      </c>
    </row>
    <row r="23" spans="1:8" x14ac:dyDescent="0.35">
      <c r="A23" s="18" t="b">
        <v>1</v>
      </c>
      <c r="B23" s="15" t="s">
        <v>140</v>
      </c>
      <c r="C23" s="17">
        <f t="shared" si="0"/>
        <v>52300</v>
      </c>
      <c r="D23" s="16" t="s">
        <v>52</v>
      </c>
      <c r="E23" s="16" t="s">
        <v>23</v>
      </c>
      <c r="F23" s="16" t="s">
        <v>137</v>
      </c>
      <c r="G23" s="16" t="s">
        <v>141</v>
      </c>
      <c r="H23" s="16" t="s">
        <v>142</v>
      </c>
    </row>
    <row r="24" spans="1:8" x14ac:dyDescent="0.35">
      <c r="A24" s="18" t="b">
        <v>1</v>
      </c>
      <c r="B24" s="15" t="s">
        <v>527</v>
      </c>
      <c r="C24" s="17">
        <f t="shared" si="0"/>
        <v>90900</v>
      </c>
      <c r="D24" s="16" t="s">
        <v>52</v>
      </c>
      <c r="E24" s="16" t="s">
        <v>8</v>
      </c>
      <c r="F24" s="16" t="s">
        <v>193</v>
      </c>
      <c r="G24" s="16" t="s">
        <v>528</v>
      </c>
      <c r="H24" s="16" t="s">
        <v>529</v>
      </c>
    </row>
    <row r="25" spans="1:8" x14ac:dyDescent="0.35">
      <c r="A25" s="18" t="b">
        <v>1</v>
      </c>
      <c r="B25" s="15" t="s">
        <v>264</v>
      </c>
      <c r="C25" s="17">
        <f t="shared" si="0"/>
        <v>100000</v>
      </c>
      <c r="D25" s="16" t="s">
        <v>52</v>
      </c>
      <c r="E25" s="16" t="s">
        <v>125</v>
      </c>
      <c r="F25" s="16" t="s">
        <v>261</v>
      </c>
      <c r="G25" s="16" t="s">
        <v>262</v>
      </c>
      <c r="H25" s="16" t="s">
        <v>263</v>
      </c>
    </row>
    <row r="26" spans="1:8" x14ac:dyDescent="0.35">
      <c r="A26" s="18" t="b">
        <v>1</v>
      </c>
      <c r="B26" s="15" t="s">
        <v>382</v>
      </c>
      <c r="C26" s="17">
        <f t="shared" si="0"/>
        <v>200000</v>
      </c>
      <c r="D26" s="16" t="s">
        <v>136</v>
      </c>
      <c r="E26" s="16" t="s">
        <v>8</v>
      </c>
      <c r="F26" s="16" t="s">
        <v>193</v>
      </c>
      <c r="G26" s="16" t="s">
        <v>383</v>
      </c>
      <c r="H26" s="16" t="s">
        <v>384</v>
      </c>
    </row>
    <row r="27" spans="1:8" x14ac:dyDescent="0.35">
      <c r="A27" s="18" t="b">
        <v>1</v>
      </c>
      <c r="B27" s="15" t="s">
        <v>385</v>
      </c>
      <c r="C27" s="17">
        <f t="shared" si="0"/>
        <v>300000</v>
      </c>
      <c r="D27" s="16" t="s">
        <v>52</v>
      </c>
      <c r="E27" s="16" t="s">
        <v>8</v>
      </c>
      <c r="F27" s="16" t="s">
        <v>137</v>
      </c>
      <c r="G27" s="16" t="s">
        <v>386</v>
      </c>
      <c r="H27" s="16" t="s">
        <v>387</v>
      </c>
    </row>
    <row r="28" spans="1:8" x14ac:dyDescent="0.35">
      <c r="A28" s="18" t="b">
        <v>1</v>
      </c>
      <c r="B28" s="15" t="s">
        <v>288</v>
      </c>
      <c r="C28" s="17">
        <f t="shared" si="0"/>
        <v>680000</v>
      </c>
      <c r="D28" s="16" t="s">
        <v>136</v>
      </c>
      <c r="E28" s="16" t="s">
        <v>125</v>
      </c>
      <c r="F28" s="16" t="s">
        <v>286</v>
      </c>
      <c r="G28" s="16" t="s">
        <v>289</v>
      </c>
      <c r="H28" s="16" t="s">
        <v>291</v>
      </c>
    </row>
    <row r="29" spans="1:8" x14ac:dyDescent="0.35">
      <c r="A29" s="18" t="b">
        <v>1</v>
      </c>
      <c r="B29" s="15" t="s">
        <v>285</v>
      </c>
      <c r="C29" s="17">
        <f t="shared" si="0"/>
        <v>1000000</v>
      </c>
      <c r="D29" s="16" t="s">
        <v>136</v>
      </c>
      <c r="E29" s="16" t="s">
        <v>125</v>
      </c>
      <c r="F29" s="16" t="s">
        <v>286</v>
      </c>
      <c r="G29" s="16" t="s">
        <v>287</v>
      </c>
      <c r="H29" s="16" t="s">
        <v>290</v>
      </c>
    </row>
    <row r="30" spans="1:8" x14ac:dyDescent="0.35">
      <c r="A30" s="18" t="b">
        <v>1</v>
      </c>
      <c r="B30" s="15" t="s">
        <v>285</v>
      </c>
      <c r="C30" s="17">
        <f t="shared" si="0"/>
        <v>1000000</v>
      </c>
      <c r="D30" s="16" t="s">
        <v>52</v>
      </c>
      <c r="E30" s="16" t="s">
        <v>8</v>
      </c>
      <c r="F30" s="16" t="s">
        <v>193</v>
      </c>
      <c r="G30" s="16" t="s">
        <v>320</v>
      </c>
      <c r="H30" s="16" t="s">
        <v>321</v>
      </c>
    </row>
    <row r="31" spans="1:8" x14ac:dyDescent="0.35">
      <c r="A31" s="18" t="b">
        <v>1</v>
      </c>
      <c r="B31" s="15" t="s">
        <v>561</v>
      </c>
      <c r="C31" s="17">
        <f t="shared" si="0"/>
        <v>392000</v>
      </c>
      <c r="D31" s="16" t="s">
        <v>52</v>
      </c>
      <c r="E31" s="16" t="s">
        <v>8</v>
      </c>
      <c r="F31" s="16" t="s">
        <v>193</v>
      </c>
      <c r="G31" s="16" t="s">
        <v>562</v>
      </c>
      <c r="H31" s="16" t="s">
        <v>563</v>
      </c>
    </row>
    <row r="32" spans="1:8" x14ac:dyDescent="0.35">
      <c r="A32" s="18" t="b">
        <v>1</v>
      </c>
      <c r="B32" s="15">
        <v>845</v>
      </c>
      <c r="C32" s="17">
        <f t="shared" si="0"/>
        <v>845</v>
      </c>
      <c r="D32" s="16" t="s">
        <v>52</v>
      </c>
      <c r="E32" s="16" t="s">
        <v>8</v>
      </c>
      <c r="F32" s="16" t="s">
        <v>193</v>
      </c>
      <c r="G32" s="16" t="s">
        <v>564</v>
      </c>
      <c r="H32" s="16" t="s">
        <v>565</v>
      </c>
    </row>
    <row r="33" spans="1:8" x14ac:dyDescent="0.35">
      <c r="A33" s="18" t="b">
        <v>1</v>
      </c>
      <c r="B33" s="15">
        <v>698</v>
      </c>
      <c r="C33" s="17">
        <f t="shared" si="0"/>
        <v>698</v>
      </c>
      <c r="D33" s="16" t="s">
        <v>52</v>
      </c>
      <c r="E33" s="16" t="s">
        <v>8</v>
      </c>
      <c r="F33" s="16" t="s">
        <v>193</v>
      </c>
      <c r="G33" s="16" t="s">
        <v>566</v>
      </c>
      <c r="H33" s="16" t="s">
        <v>567</v>
      </c>
    </row>
    <row r="34" spans="1:8" x14ac:dyDescent="0.35">
      <c r="A34" s="18" t="b">
        <v>1</v>
      </c>
      <c r="B34" s="15" t="s">
        <v>571</v>
      </c>
      <c r="C34" s="17">
        <f t="shared" ref="C34:C97" si="1">IF(ISNUMBER(B34),
IF(B34=0,"",B34),
VALUE(LEFT(B34,LEN(B34)-1))*
IF(RIGHT(B34,1)="k",1000,
IF(RIGHT(B34,1)="M",1000000,
IF(RIGHT(B34,1)="m",0.001,1))))</f>
        <v>53200</v>
      </c>
      <c r="D34" s="16" t="s">
        <v>52</v>
      </c>
      <c r="E34" s="16" t="s">
        <v>8</v>
      </c>
      <c r="F34" s="16" t="s">
        <v>193</v>
      </c>
      <c r="G34" s="16" t="s">
        <v>572</v>
      </c>
      <c r="H34" s="16" t="s">
        <v>573</v>
      </c>
    </row>
    <row r="35" spans="1:8" x14ac:dyDescent="0.35">
      <c r="A35" s="18" t="b">
        <v>1</v>
      </c>
      <c r="B35" s="15">
        <v>100</v>
      </c>
      <c r="C35" s="17">
        <f t="shared" si="1"/>
        <v>100</v>
      </c>
      <c r="D35" s="16" t="s">
        <v>62</v>
      </c>
      <c r="E35" s="16" t="s">
        <v>613</v>
      </c>
      <c r="F35" s="16" t="s">
        <v>610</v>
      </c>
      <c r="G35" s="16" t="s">
        <v>614</v>
      </c>
      <c r="H35" s="16" t="s">
        <v>615</v>
      </c>
    </row>
    <row r="36" spans="1:8" x14ac:dyDescent="0.35">
      <c r="A36" s="18" t="b">
        <v>1</v>
      </c>
      <c r="B36" s="15">
        <v>10</v>
      </c>
      <c r="C36" s="17">
        <f t="shared" si="1"/>
        <v>10</v>
      </c>
      <c r="D36" s="16" t="s">
        <v>693</v>
      </c>
      <c r="E36" s="16" t="s">
        <v>8</v>
      </c>
      <c r="F36" s="16" t="s">
        <v>193</v>
      </c>
      <c r="G36" s="16" t="s">
        <v>694</v>
      </c>
      <c r="H36" s="16" t="s">
        <v>695</v>
      </c>
    </row>
    <row r="37" spans="1:8" x14ac:dyDescent="0.35">
      <c r="A37" s="18" t="b">
        <v>1</v>
      </c>
      <c r="B37" s="15" t="s">
        <v>773</v>
      </c>
      <c r="C37" s="17">
        <f t="shared" si="1"/>
        <v>887000</v>
      </c>
      <c r="D37" s="16" t="s">
        <v>52</v>
      </c>
      <c r="E37" s="16" t="s">
        <v>8</v>
      </c>
      <c r="F37" s="16" t="s">
        <v>193</v>
      </c>
      <c r="G37" s="16" t="s">
        <v>772</v>
      </c>
      <c r="H37" s="16" t="s">
        <v>774</v>
      </c>
    </row>
    <row r="38" spans="1:8" x14ac:dyDescent="0.35">
      <c r="A38" s="18" t="b">
        <v>1</v>
      </c>
      <c r="B38" s="15" t="s">
        <v>776</v>
      </c>
      <c r="C38" s="17">
        <f t="shared" si="1"/>
        <v>29400</v>
      </c>
      <c r="D38" s="16" t="s">
        <v>52</v>
      </c>
      <c r="E38" s="16" t="s">
        <v>8</v>
      </c>
      <c r="F38" s="16" t="s">
        <v>193</v>
      </c>
      <c r="G38" s="16" t="s">
        <v>775</v>
      </c>
      <c r="H38" s="16" t="s">
        <v>777</v>
      </c>
    </row>
    <row r="39" spans="1:8" x14ac:dyDescent="0.35">
      <c r="A39" s="18" t="b">
        <v>1</v>
      </c>
      <c r="B39" s="15" t="s">
        <v>778</v>
      </c>
      <c r="C39" s="17">
        <f t="shared" si="1"/>
        <v>34000</v>
      </c>
      <c r="D39" s="16" t="s">
        <v>52</v>
      </c>
      <c r="E39" s="16" t="s">
        <v>8</v>
      </c>
      <c r="F39" s="16" t="s">
        <v>193</v>
      </c>
      <c r="G39" s="16" t="s">
        <v>779</v>
      </c>
      <c r="H39" s="16" t="s">
        <v>780</v>
      </c>
    </row>
    <row r="40" spans="1:8" x14ac:dyDescent="0.35">
      <c r="A40" s="18" t="b">
        <v>1</v>
      </c>
      <c r="B40" s="15" t="s">
        <v>781</v>
      </c>
      <c r="C40" s="17">
        <f t="shared" si="1"/>
        <v>24000</v>
      </c>
      <c r="D40" s="16" t="s">
        <v>52</v>
      </c>
      <c r="E40" s="16" t="s">
        <v>8</v>
      </c>
      <c r="F40" s="16" t="s">
        <v>193</v>
      </c>
      <c r="G40" s="16" t="s">
        <v>782</v>
      </c>
      <c r="H40" s="16" t="s">
        <v>783</v>
      </c>
    </row>
    <row r="41" spans="1:8" x14ac:dyDescent="0.35">
      <c r="A41" s="18" t="b">
        <v>1</v>
      </c>
      <c r="B41" s="15" t="s">
        <v>785</v>
      </c>
      <c r="C41" s="17">
        <f t="shared" si="1"/>
        <v>56000</v>
      </c>
      <c r="D41" s="16" t="s">
        <v>52</v>
      </c>
      <c r="E41" s="16" t="s">
        <v>8</v>
      </c>
      <c r="F41" s="16" t="s">
        <v>193</v>
      </c>
      <c r="G41" s="16" t="s">
        <v>784</v>
      </c>
      <c r="H41" s="16" t="s">
        <v>786</v>
      </c>
    </row>
    <row r="42" spans="1:8" x14ac:dyDescent="0.35">
      <c r="A42" s="18" t="b">
        <v>1</v>
      </c>
      <c r="B42" s="15" t="s">
        <v>787</v>
      </c>
      <c r="C42" s="17">
        <f t="shared" si="1"/>
        <v>35700</v>
      </c>
      <c r="D42" s="16" t="s">
        <v>67</v>
      </c>
      <c r="E42" s="16" t="s">
        <v>8</v>
      </c>
      <c r="F42" s="16" t="s">
        <v>193</v>
      </c>
      <c r="G42" s="16" t="s">
        <v>788</v>
      </c>
      <c r="H42" s="16" t="s">
        <v>789</v>
      </c>
    </row>
    <row r="43" spans="1:8" x14ac:dyDescent="0.35">
      <c r="A43" s="18" t="b">
        <v>1</v>
      </c>
      <c r="B43" s="15" t="s">
        <v>790</v>
      </c>
      <c r="C43" s="17">
        <f t="shared" si="1"/>
        <v>499000</v>
      </c>
      <c r="D43" s="16" t="s">
        <v>52</v>
      </c>
      <c r="E43" s="16" t="s">
        <v>8</v>
      </c>
      <c r="F43" s="16" t="s">
        <v>137</v>
      </c>
      <c r="G43" s="16" t="s">
        <v>791</v>
      </c>
      <c r="H43" s="16" t="s">
        <v>792</v>
      </c>
    </row>
    <row r="44" spans="1:8" x14ac:dyDescent="0.35">
      <c r="A44" s="18" t="b">
        <v>1</v>
      </c>
      <c r="B44" s="15" t="s">
        <v>793</v>
      </c>
      <c r="C44" s="17">
        <f t="shared" si="1"/>
        <v>4870</v>
      </c>
      <c r="D44" s="16" t="s">
        <v>52</v>
      </c>
      <c r="E44" s="16" t="s">
        <v>8</v>
      </c>
      <c r="F44" s="16" t="s">
        <v>193</v>
      </c>
      <c r="G44" s="16" t="s">
        <v>794</v>
      </c>
      <c r="H44" s="16" t="s">
        <v>795</v>
      </c>
    </row>
    <row r="45" spans="1:8" x14ac:dyDescent="0.35">
      <c r="A45" s="18" t="b">
        <v>1</v>
      </c>
      <c r="B45" s="15" t="s">
        <v>796</v>
      </c>
      <c r="C45" s="17">
        <f t="shared" si="1"/>
        <v>8250</v>
      </c>
      <c r="D45" s="16" t="s">
        <v>52</v>
      </c>
      <c r="E45" s="16" t="s">
        <v>8</v>
      </c>
      <c r="F45" s="16" t="s">
        <v>193</v>
      </c>
      <c r="G45" s="16" t="s">
        <v>797</v>
      </c>
      <c r="H45" s="16" t="s">
        <v>798</v>
      </c>
    </row>
    <row r="46" spans="1:8" x14ac:dyDescent="0.35">
      <c r="A46" s="18" t="b">
        <v>1</v>
      </c>
      <c r="B46" s="15" t="s">
        <v>800</v>
      </c>
      <c r="C46" s="17">
        <f t="shared" si="1"/>
        <v>681000</v>
      </c>
      <c r="D46" s="16" t="s">
        <v>52</v>
      </c>
      <c r="E46" s="16" t="s">
        <v>8</v>
      </c>
      <c r="F46" s="16" t="s">
        <v>193</v>
      </c>
      <c r="G46" s="16" t="s">
        <v>799</v>
      </c>
      <c r="H46" s="16" t="s">
        <v>801</v>
      </c>
    </row>
    <row r="47" spans="1:8" x14ac:dyDescent="0.35">
      <c r="A47" s="18" t="b">
        <v>1</v>
      </c>
      <c r="B47" s="15" t="s">
        <v>852</v>
      </c>
      <c r="C47" s="17">
        <f t="shared" si="1"/>
        <v>30100</v>
      </c>
      <c r="D47" s="16" t="s">
        <v>52</v>
      </c>
      <c r="E47" s="16" t="s">
        <v>8</v>
      </c>
      <c r="F47" s="16" t="s">
        <v>193</v>
      </c>
      <c r="G47" s="16" t="s">
        <v>853</v>
      </c>
      <c r="H47" s="16" t="s">
        <v>854</v>
      </c>
    </row>
    <row r="48" spans="1:8" x14ac:dyDescent="0.35">
      <c r="A48" s="18" t="b">
        <v>1</v>
      </c>
      <c r="B48" s="15" t="s">
        <v>855</v>
      </c>
      <c r="C48" s="17">
        <f t="shared" si="1"/>
        <v>422000</v>
      </c>
      <c r="D48" s="16" t="s">
        <v>52</v>
      </c>
      <c r="E48" s="16" t="s">
        <v>8</v>
      </c>
      <c r="F48" s="16" t="s">
        <v>193</v>
      </c>
      <c r="G48" s="16" t="s">
        <v>856</v>
      </c>
      <c r="H48" s="16" t="s">
        <v>857</v>
      </c>
    </row>
    <row r="49" spans="1:8" x14ac:dyDescent="0.35">
      <c r="A49" s="18" t="b">
        <v>1</v>
      </c>
      <c r="B49" s="15" t="s">
        <v>874</v>
      </c>
      <c r="C49" s="17">
        <f t="shared" si="1"/>
        <v>158000</v>
      </c>
      <c r="D49" s="16" t="s">
        <v>52</v>
      </c>
      <c r="E49" s="16" t="s">
        <v>8</v>
      </c>
      <c r="F49" s="16" t="s">
        <v>193</v>
      </c>
      <c r="G49" s="16" t="s">
        <v>875</v>
      </c>
      <c r="H49" s="16" t="s">
        <v>876</v>
      </c>
    </row>
    <row r="50" spans="1:8" x14ac:dyDescent="0.35">
      <c r="A50" s="18" t="b">
        <v>0</v>
      </c>
      <c r="B50" s="15">
        <v>0</v>
      </c>
      <c r="C50" s="17" t="str">
        <f t="shared" si="1"/>
        <v/>
      </c>
      <c r="D50" s="16"/>
      <c r="E50" s="16"/>
      <c r="F50" s="16"/>
      <c r="G50" s="16"/>
      <c r="H50" s="16"/>
    </row>
    <row r="51" spans="1:8" x14ac:dyDescent="0.35">
      <c r="A51" s="18" t="b">
        <v>0</v>
      </c>
      <c r="B51" s="15">
        <v>0</v>
      </c>
      <c r="C51" s="17" t="str">
        <f t="shared" si="1"/>
        <v/>
      </c>
      <c r="D51" s="16"/>
      <c r="E51" s="16"/>
      <c r="F51" s="16"/>
      <c r="G51" s="16"/>
      <c r="H51" s="16"/>
    </row>
    <row r="52" spans="1:8" x14ac:dyDescent="0.35">
      <c r="A52" s="18" t="b">
        <v>0</v>
      </c>
      <c r="B52" s="15">
        <v>0</v>
      </c>
      <c r="C52" s="17" t="str">
        <f t="shared" si="1"/>
        <v/>
      </c>
      <c r="D52" s="16"/>
      <c r="E52" s="16"/>
      <c r="F52" s="16"/>
      <c r="G52" s="16"/>
      <c r="H52" s="16"/>
    </row>
    <row r="53" spans="1:8" x14ac:dyDescent="0.35">
      <c r="A53" s="18" t="b">
        <v>0</v>
      </c>
      <c r="B53" s="15">
        <v>0</v>
      </c>
      <c r="C53" s="17" t="str">
        <f t="shared" si="1"/>
        <v/>
      </c>
      <c r="D53" s="16"/>
      <c r="E53" s="16"/>
      <c r="F53" s="16"/>
      <c r="G53" s="16"/>
      <c r="H53" s="16"/>
    </row>
    <row r="54" spans="1:8" x14ac:dyDescent="0.35">
      <c r="A54" s="18" t="b">
        <v>0</v>
      </c>
      <c r="B54" s="15">
        <v>0</v>
      </c>
      <c r="C54" s="17" t="str">
        <f t="shared" si="1"/>
        <v/>
      </c>
      <c r="D54" s="16"/>
      <c r="E54" s="16"/>
      <c r="F54" s="16"/>
      <c r="G54" s="16"/>
      <c r="H54" s="16"/>
    </row>
    <row r="55" spans="1:8" x14ac:dyDescent="0.35">
      <c r="A55" s="18" t="b">
        <v>0</v>
      </c>
      <c r="B55" s="15">
        <v>0</v>
      </c>
      <c r="C55" s="17" t="str">
        <f t="shared" si="1"/>
        <v/>
      </c>
      <c r="D55" s="16"/>
      <c r="E55" s="16"/>
      <c r="F55" s="16"/>
      <c r="G55" s="16"/>
      <c r="H55" s="16"/>
    </row>
    <row r="56" spans="1:8" x14ac:dyDescent="0.35">
      <c r="A56" s="18" t="b">
        <v>0</v>
      </c>
      <c r="B56" s="15">
        <v>0</v>
      </c>
      <c r="C56" s="17" t="str">
        <f t="shared" si="1"/>
        <v/>
      </c>
      <c r="D56" s="16"/>
      <c r="E56" s="16"/>
      <c r="F56" s="16"/>
      <c r="G56" s="16"/>
      <c r="H56" s="16"/>
    </row>
    <row r="57" spans="1:8" x14ac:dyDescent="0.35">
      <c r="A57" s="18" t="b">
        <v>0</v>
      </c>
      <c r="B57" s="15">
        <v>0</v>
      </c>
      <c r="C57" s="17" t="str">
        <f t="shared" si="1"/>
        <v/>
      </c>
      <c r="D57" s="16"/>
      <c r="E57" s="16"/>
      <c r="F57" s="16"/>
      <c r="G57" s="16"/>
      <c r="H57" s="16"/>
    </row>
    <row r="58" spans="1:8" x14ac:dyDescent="0.35">
      <c r="A58" s="18" t="b">
        <v>0</v>
      </c>
      <c r="B58" s="15">
        <v>0</v>
      </c>
      <c r="C58" s="17" t="str">
        <f t="shared" si="1"/>
        <v/>
      </c>
      <c r="D58" s="16"/>
      <c r="E58" s="16"/>
      <c r="F58" s="16"/>
      <c r="G58" s="16"/>
      <c r="H58" s="16"/>
    </row>
    <row r="59" spans="1:8" x14ac:dyDescent="0.35">
      <c r="A59" s="18" t="b">
        <v>0</v>
      </c>
      <c r="B59" s="15">
        <v>0</v>
      </c>
      <c r="C59" s="17" t="str">
        <f t="shared" si="1"/>
        <v/>
      </c>
      <c r="D59" s="16"/>
      <c r="E59" s="16"/>
      <c r="F59" s="16"/>
      <c r="G59" s="16"/>
      <c r="H59" s="16"/>
    </row>
    <row r="60" spans="1:8" x14ac:dyDescent="0.35">
      <c r="A60" s="18" t="b">
        <v>0</v>
      </c>
      <c r="B60" s="15">
        <v>0</v>
      </c>
      <c r="C60" s="17" t="str">
        <f t="shared" si="1"/>
        <v/>
      </c>
      <c r="D60" s="16"/>
      <c r="E60" s="16"/>
      <c r="F60" s="16"/>
      <c r="G60" s="16"/>
      <c r="H60" s="16"/>
    </row>
    <row r="61" spans="1:8" x14ac:dyDescent="0.35">
      <c r="A61" s="18" t="b">
        <v>0</v>
      </c>
      <c r="B61" s="15">
        <v>0</v>
      </c>
      <c r="C61" s="17" t="str">
        <f t="shared" si="1"/>
        <v/>
      </c>
      <c r="D61" s="16"/>
      <c r="E61" s="16"/>
      <c r="F61" s="16"/>
      <c r="G61" s="16"/>
      <c r="H61" s="16"/>
    </row>
    <row r="62" spans="1:8" x14ac:dyDescent="0.35">
      <c r="A62" s="18" t="b">
        <v>0</v>
      </c>
      <c r="B62" s="15">
        <v>0</v>
      </c>
      <c r="C62" s="17" t="str">
        <f t="shared" si="1"/>
        <v/>
      </c>
      <c r="D62" s="16"/>
      <c r="E62" s="16"/>
      <c r="F62" s="16"/>
      <c r="G62" s="16"/>
      <c r="H62" s="16"/>
    </row>
    <row r="63" spans="1:8" x14ac:dyDescent="0.35">
      <c r="A63" s="18" t="b">
        <v>0</v>
      </c>
      <c r="B63" s="15">
        <v>0</v>
      </c>
      <c r="C63" s="17" t="str">
        <f t="shared" si="1"/>
        <v/>
      </c>
      <c r="D63" s="16"/>
      <c r="E63" s="16"/>
      <c r="F63" s="16"/>
      <c r="G63" s="16"/>
      <c r="H63" s="16"/>
    </row>
    <row r="64" spans="1:8" x14ac:dyDescent="0.35">
      <c r="A64" s="18" t="b">
        <v>0</v>
      </c>
      <c r="B64" s="15">
        <v>0</v>
      </c>
      <c r="C64" s="17" t="str">
        <f t="shared" si="1"/>
        <v/>
      </c>
      <c r="D64" s="16"/>
      <c r="E64" s="16"/>
      <c r="F64" s="16"/>
      <c r="G64" s="16"/>
      <c r="H64" s="16"/>
    </row>
    <row r="65" spans="1:8" x14ac:dyDescent="0.35">
      <c r="A65" s="18" t="b">
        <v>0</v>
      </c>
      <c r="B65" s="15">
        <v>0</v>
      </c>
      <c r="C65" s="17" t="str">
        <f t="shared" si="1"/>
        <v/>
      </c>
      <c r="D65" s="16"/>
      <c r="E65" s="16"/>
      <c r="F65" s="16"/>
      <c r="G65" s="16"/>
      <c r="H65" s="16"/>
    </row>
    <row r="66" spans="1:8" x14ac:dyDescent="0.35">
      <c r="A66" s="18" t="b">
        <v>0</v>
      </c>
      <c r="B66" s="15">
        <v>0</v>
      </c>
      <c r="C66" s="17" t="str">
        <f t="shared" si="1"/>
        <v/>
      </c>
      <c r="D66" s="16"/>
      <c r="E66" s="16"/>
      <c r="F66" s="16"/>
      <c r="G66" s="16"/>
      <c r="H66" s="16"/>
    </row>
    <row r="67" spans="1:8" x14ac:dyDescent="0.35">
      <c r="A67" s="18" t="b">
        <v>0</v>
      </c>
      <c r="B67" s="15">
        <v>0</v>
      </c>
      <c r="C67" s="17" t="str">
        <f t="shared" si="1"/>
        <v/>
      </c>
      <c r="D67" s="16"/>
      <c r="E67" s="16"/>
      <c r="F67" s="16"/>
      <c r="G67" s="16"/>
      <c r="H67" s="16"/>
    </row>
    <row r="68" spans="1:8" x14ac:dyDescent="0.35">
      <c r="A68" s="18" t="b">
        <v>0</v>
      </c>
      <c r="B68" s="15">
        <v>0</v>
      </c>
      <c r="C68" s="17" t="str">
        <f t="shared" si="1"/>
        <v/>
      </c>
      <c r="D68" s="16"/>
      <c r="E68" s="16"/>
      <c r="F68" s="16"/>
      <c r="G68" s="16"/>
      <c r="H68" s="16"/>
    </row>
    <row r="69" spans="1:8" x14ac:dyDescent="0.35">
      <c r="A69" s="18" t="b">
        <v>0</v>
      </c>
      <c r="B69" s="15">
        <v>0</v>
      </c>
      <c r="C69" s="17" t="str">
        <f t="shared" si="1"/>
        <v/>
      </c>
      <c r="D69" s="16"/>
      <c r="E69" s="16"/>
      <c r="F69" s="16"/>
      <c r="G69" s="16"/>
      <c r="H69" s="16"/>
    </row>
    <row r="70" spans="1:8" x14ac:dyDescent="0.35">
      <c r="A70" s="18" t="b">
        <v>0</v>
      </c>
      <c r="B70" s="15">
        <v>0</v>
      </c>
      <c r="C70" s="17" t="str">
        <f t="shared" si="1"/>
        <v/>
      </c>
      <c r="D70" s="16"/>
      <c r="E70" s="16"/>
      <c r="F70" s="16"/>
      <c r="G70" s="16"/>
      <c r="H70" s="16"/>
    </row>
    <row r="71" spans="1:8" x14ac:dyDescent="0.35">
      <c r="A71" s="18" t="b">
        <v>0</v>
      </c>
      <c r="B71" s="15">
        <v>0</v>
      </c>
      <c r="C71" s="17" t="str">
        <f t="shared" si="1"/>
        <v/>
      </c>
      <c r="D71" s="16"/>
      <c r="E71" s="16"/>
      <c r="F71" s="16"/>
      <c r="G71" s="16"/>
      <c r="H71" s="16"/>
    </row>
    <row r="72" spans="1:8" x14ac:dyDescent="0.35">
      <c r="A72" s="18" t="b">
        <v>0</v>
      </c>
      <c r="B72" s="15">
        <v>0</v>
      </c>
      <c r="C72" s="17" t="str">
        <f t="shared" si="1"/>
        <v/>
      </c>
      <c r="D72" s="16"/>
      <c r="E72" s="16"/>
      <c r="F72" s="16"/>
      <c r="G72" s="16"/>
      <c r="H72" s="16"/>
    </row>
    <row r="73" spans="1:8" x14ac:dyDescent="0.35">
      <c r="A73" s="18" t="b">
        <v>0</v>
      </c>
      <c r="B73" s="15">
        <v>0</v>
      </c>
      <c r="C73" s="17" t="str">
        <f t="shared" si="1"/>
        <v/>
      </c>
      <c r="D73" s="16"/>
      <c r="E73" s="16"/>
      <c r="F73" s="16"/>
      <c r="G73" s="16"/>
      <c r="H73" s="16"/>
    </row>
    <row r="74" spans="1:8" x14ac:dyDescent="0.35">
      <c r="A74" s="18" t="b">
        <v>0</v>
      </c>
      <c r="B74" s="15">
        <v>0</v>
      </c>
      <c r="C74" s="17" t="str">
        <f t="shared" si="1"/>
        <v/>
      </c>
      <c r="D74" s="16"/>
      <c r="E74" s="16"/>
      <c r="F74" s="16"/>
      <c r="G74" s="16"/>
      <c r="H74" s="16"/>
    </row>
    <row r="75" spans="1:8" x14ac:dyDescent="0.35">
      <c r="A75" s="18" t="b">
        <v>0</v>
      </c>
      <c r="B75" s="15">
        <v>0</v>
      </c>
      <c r="C75" s="17" t="str">
        <f t="shared" si="1"/>
        <v/>
      </c>
      <c r="D75" s="16"/>
      <c r="E75" s="16"/>
      <c r="F75" s="16"/>
      <c r="G75" s="16"/>
      <c r="H75" s="16"/>
    </row>
    <row r="76" spans="1:8" x14ac:dyDescent="0.35">
      <c r="A76" s="18" t="b">
        <v>0</v>
      </c>
      <c r="B76" s="15">
        <v>0</v>
      </c>
      <c r="C76" s="17" t="str">
        <f t="shared" si="1"/>
        <v/>
      </c>
      <c r="D76" s="16"/>
      <c r="E76" s="16"/>
      <c r="F76" s="16"/>
      <c r="G76" s="16"/>
      <c r="H76" s="16"/>
    </row>
    <row r="77" spans="1:8" x14ac:dyDescent="0.35">
      <c r="A77" s="18" t="b">
        <v>0</v>
      </c>
      <c r="B77" s="15">
        <v>0</v>
      </c>
      <c r="C77" s="17" t="str">
        <f t="shared" si="1"/>
        <v/>
      </c>
      <c r="D77" s="16"/>
      <c r="E77" s="16"/>
      <c r="F77" s="16"/>
      <c r="G77" s="16"/>
      <c r="H77" s="16"/>
    </row>
    <row r="78" spans="1:8" x14ac:dyDescent="0.35">
      <c r="A78" s="18" t="b">
        <v>0</v>
      </c>
      <c r="B78" s="15">
        <v>0</v>
      </c>
      <c r="C78" s="17" t="str">
        <f t="shared" si="1"/>
        <v/>
      </c>
      <c r="D78" s="16"/>
      <c r="E78" s="16"/>
      <c r="F78" s="16"/>
      <c r="G78" s="16"/>
      <c r="H78" s="16"/>
    </row>
    <row r="79" spans="1:8" x14ac:dyDescent="0.35">
      <c r="A79" s="18" t="b">
        <v>0</v>
      </c>
      <c r="B79" s="15">
        <v>0</v>
      </c>
      <c r="C79" s="17" t="str">
        <f t="shared" si="1"/>
        <v/>
      </c>
      <c r="D79" s="16"/>
      <c r="E79" s="16"/>
      <c r="F79" s="16"/>
      <c r="G79" s="16"/>
      <c r="H79" s="16"/>
    </row>
    <row r="80" spans="1:8" x14ac:dyDescent="0.35">
      <c r="A80" s="18" t="b">
        <v>0</v>
      </c>
      <c r="B80" s="15">
        <v>0</v>
      </c>
      <c r="C80" s="17" t="str">
        <f t="shared" si="1"/>
        <v/>
      </c>
      <c r="D80" s="16"/>
      <c r="E80" s="16"/>
      <c r="F80" s="16"/>
      <c r="G80" s="16"/>
      <c r="H80" s="16"/>
    </row>
    <row r="81" spans="1:8" x14ac:dyDescent="0.35">
      <c r="A81" s="18" t="b">
        <v>0</v>
      </c>
      <c r="B81" s="15">
        <v>0</v>
      </c>
      <c r="C81" s="17" t="str">
        <f t="shared" si="1"/>
        <v/>
      </c>
      <c r="D81" s="16"/>
      <c r="E81" s="16"/>
      <c r="F81" s="16"/>
      <c r="G81" s="16"/>
      <c r="H81" s="16"/>
    </row>
    <row r="82" spans="1:8" x14ac:dyDescent="0.35">
      <c r="A82" s="18" t="b">
        <v>0</v>
      </c>
      <c r="B82" s="15">
        <v>0</v>
      </c>
      <c r="C82" s="17" t="str">
        <f t="shared" si="1"/>
        <v/>
      </c>
      <c r="D82" s="16"/>
      <c r="E82" s="16"/>
      <c r="F82" s="16"/>
      <c r="G82" s="16"/>
      <c r="H82" s="16"/>
    </row>
    <row r="83" spans="1:8" x14ac:dyDescent="0.35">
      <c r="A83" s="18" t="b">
        <v>0</v>
      </c>
      <c r="B83" s="15">
        <v>0</v>
      </c>
      <c r="C83" s="17" t="str">
        <f t="shared" si="1"/>
        <v/>
      </c>
      <c r="D83" s="16"/>
      <c r="E83" s="16"/>
      <c r="F83" s="16"/>
      <c r="G83" s="16"/>
      <c r="H83" s="16"/>
    </row>
    <row r="84" spans="1:8" x14ac:dyDescent="0.35">
      <c r="A84" s="18" t="b">
        <v>0</v>
      </c>
      <c r="B84" s="15">
        <v>0</v>
      </c>
      <c r="C84" s="17" t="str">
        <f t="shared" si="1"/>
        <v/>
      </c>
      <c r="D84" s="16"/>
      <c r="E84" s="16"/>
      <c r="F84" s="16"/>
      <c r="G84" s="16"/>
      <c r="H84" s="16"/>
    </row>
    <row r="85" spans="1:8" x14ac:dyDescent="0.35">
      <c r="A85" s="18" t="b">
        <v>0</v>
      </c>
      <c r="B85" s="15">
        <v>0</v>
      </c>
      <c r="C85" s="17" t="str">
        <f t="shared" si="1"/>
        <v/>
      </c>
      <c r="D85" s="16"/>
      <c r="E85" s="16"/>
      <c r="F85" s="16"/>
      <c r="G85" s="16"/>
      <c r="H85" s="16"/>
    </row>
    <row r="86" spans="1:8" x14ac:dyDescent="0.35">
      <c r="A86" s="18" t="b">
        <v>0</v>
      </c>
      <c r="B86" s="15">
        <v>0</v>
      </c>
      <c r="C86" s="17" t="str">
        <f t="shared" si="1"/>
        <v/>
      </c>
      <c r="D86" s="16"/>
      <c r="E86" s="16"/>
      <c r="F86" s="16"/>
      <c r="G86" s="16"/>
      <c r="H86" s="16"/>
    </row>
    <row r="87" spans="1:8" x14ac:dyDescent="0.35">
      <c r="A87" s="18" t="b">
        <v>0</v>
      </c>
      <c r="B87" s="15">
        <v>0</v>
      </c>
      <c r="C87" s="17" t="str">
        <f t="shared" si="1"/>
        <v/>
      </c>
      <c r="D87" s="16"/>
      <c r="E87" s="16"/>
      <c r="F87" s="16"/>
      <c r="G87" s="16"/>
      <c r="H87" s="16"/>
    </row>
    <row r="88" spans="1:8" x14ac:dyDescent="0.35">
      <c r="A88" s="18" t="b">
        <v>0</v>
      </c>
      <c r="B88" s="15">
        <v>0</v>
      </c>
      <c r="C88" s="17" t="str">
        <f t="shared" si="1"/>
        <v/>
      </c>
      <c r="D88" s="16"/>
      <c r="E88" s="16"/>
      <c r="F88" s="16"/>
      <c r="G88" s="16"/>
      <c r="H88" s="16"/>
    </row>
    <row r="89" spans="1:8" x14ac:dyDescent="0.35">
      <c r="A89" s="18" t="b">
        <v>0</v>
      </c>
      <c r="B89" s="15">
        <v>0</v>
      </c>
      <c r="C89" s="17" t="str">
        <f t="shared" si="1"/>
        <v/>
      </c>
      <c r="D89" s="16"/>
      <c r="E89" s="16"/>
      <c r="F89" s="16"/>
      <c r="G89" s="16"/>
      <c r="H89" s="16"/>
    </row>
    <row r="90" spans="1:8" x14ac:dyDescent="0.35">
      <c r="A90" s="18" t="b">
        <v>0</v>
      </c>
      <c r="B90" s="15">
        <v>0</v>
      </c>
      <c r="C90" s="17" t="str">
        <f t="shared" si="1"/>
        <v/>
      </c>
      <c r="D90" s="16"/>
      <c r="E90" s="16"/>
      <c r="F90" s="16"/>
      <c r="G90" s="16"/>
      <c r="H90" s="16"/>
    </row>
    <row r="91" spans="1:8" x14ac:dyDescent="0.35">
      <c r="A91" s="18" t="b">
        <v>0</v>
      </c>
      <c r="B91" s="15">
        <v>0</v>
      </c>
      <c r="C91" s="17" t="str">
        <f t="shared" si="1"/>
        <v/>
      </c>
      <c r="D91" s="16"/>
      <c r="E91" s="16"/>
      <c r="F91" s="16"/>
      <c r="G91" s="16"/>
      <c r="H91" s="16"/>
    </row>
    <row r="92" spans="1:8" x14ac:dyDescent="0.35">
      <c r="A92" s="18" t="b">
        <v>0</v>
      </c>
      <c r="B92" s="15">
        <v>0</v>
      </c>
      <c r="C92" s="17" t="str">
        <f t="shared" si="1"/>
        <v/>
      </c>
      <c r="D92" s="16"/>
      <c r="E92" s="16"/>
      <c r="F92" s="16"/>
      <c r="G92" s="16"/>
      <c r="H92" s="16"/>
    </row>
    <row r="93" spans="1:8" x14ac:dyDescent="0.35">
      <c r="A93" s="18" t="b">
        <v>0</v>
      </c>
      <c r="B93" s="15">
        <v>0</v>
      </c>
      <c r="C93" s="17" t="str">
        <f t="shared" si="1"/>
        <v/>
      </c>
      <c r="D93" s="16"/>
      <c r="E93" s="16"/>
      <c r="F93" s="16"/>
      <c r="G93" s="16"/>
      <c r="H93" s="16"/>
    </row>
    <row r="94" spans="1:8" x14ac:dyDescent="0.35">
      <c r="A94" s="18" t="b">
        <v>0</v>
      </c>
      <c r="B94" s="15">
        <v>0</v>
      </c>
      <c r="C94" s="17" t="str">
        <f t="shared" si="1"/>
        <v/>
      </c>
      <c r="D94" s="16"/>
      <c r="E94" s="16"/>
      <c r="F94" s="16"/>
      <c r="G94" s="16"/>
      <c r="H94" s="16"/>
    </row>
    <row r="95" spans="1:8" x14ac:dyDescent="0.35">
      <c r="A95" s="18" t="b">
        <v>0</v>
      </c>
      <c r="B95" s="15">
        <v>0</v>
      </c>
      <c r="C95" s="17" t="str">
        <f t="shared" si="1"/>
        <v/>
      </c>
      <c r="D95" s="16"/>
      <c r="E95" s="16"/>
      <c r="F95" s="16"/>
      <c r="G95" s="16"/>
      <c r="H95" s="16"/>
    </row>
    <row r="96" spans="1:8" x14ac:dyDescent="0.35">
      <c r="A96" s="18" t="b">
        <v>0</v>
      </c>
      <c r="B96" s="15">
        <v>0</v>
      </c>
      <c r="C96" s="17" t="str">
        <f t="shared" si="1"/>
        <v/>
      </c>
      <c r="D96" s="16"/>
      <c r="E96" s="16"/>
      <c r="F96" s="16"/>
      <c r="G96" s="16"/>
      <c r="H96" s="16"/>
    </row>
    <row r="97" spans="1:8" x14ac:dyDescent="0.35">
      <c r="A97" s="18" t="b">
        <v>0</v>
      </c>
      <c r="B97" s="15">
        <v>0</v>
      </c>
      <c r="C97" s="17" t="str">
        <f t="shared" si="1"/>
        <v/>
      </c>
      <c r="D97" s="16"/>
      <c r="E97" s="16"/>
      <c r="F97" s="16"/>
      <c r="G97" s="16"/>
      <c r="H97" s="16"/>
    </row>
    <row r="98" spans="1:8" x14ac:dyDescent="0.35">
      <c r="A98" s="18" t="b">
        <v>0</v>
      </c>
      <c r="B98" s="15">
        <v>0</v>
      </c>
      <c r="C98" s="17" t="str">
        <f t="shared" ref="C98:C100" si="2">IF(ISNUMBER(B98),
IF(B98=0,"",B98),
VALUE(LEFT(B98,LEN(B98)-1))*
IF(RIGHT(B98,1)="k",1000,
IF(RIGHT(B98,1)="M",1000000,
IF(RIGHT(B98,1)="m",0.001,1))))</f>
        <v/>
      </c>
      <c r="D98" s="16"/>
      <c r="E98" s="16"/>
      <c r="F98" s="16"/>
      <c r="G98" s="16"/>
      <c r="H98" s="16"/>
    </row>
    <row r="99" spans="1:8" x14ac:dyDescent="0.35">
      <c r="A99" s="18" t="b">
        <v>0</v>
      </c>
      <c r="B99" s="15">
        <v>0</v>
      </c>
      <c r="C99" s="17" t="str">
        <f t="shared" si="2"/>
        <v/>
      </c>
      <c r="D99" s="16"/>
      <c r="E99" s="16"/>
      <c r="F99" s="16"/>
      <c r="G99" s="16"/>
      <c r="H99" s="16"/>
    </row>
    <row r="100" spans="1:8" x14ac:dyDescent="0.35">
      <c r="A100" s="18" t="b">
        <v>0</v>
      </c>
      <c r="B100" s="15">
        <v>0</v>
      </c>
      <c r="C100" s="17" t="str">
        <f t="shared" si="2"/>
        <v/>
      </c>
      <c r="D100" s="16"/>
      <c r="E100" s="16"/>
      <c r="F100" s="16"/>
      <c r="G100" s="16"/>
      <c r="H100" s="16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2A382-E462-4BE1-97F8-C914956E97E2}">
  <dimension ref="A1:G11"/>
  <sheetViews>
    <sheetView workbookViewId="0">
      <selection activeCell="C8" sqref="C8"/>
    </sheetView>
  </sheetViews>
  <sheetFormatPr defaultColWidth="0" defaultRowHeight="14.5" zeroHeight="1" x14ac:dyDescent="0.35"/>
  <cols>
    <col min="1" max="1" width="16.90625" customWidth="1"/>
    <col min="2" max="2" width="22.26953125" customWidth="1"/>
    <col min="3" max="3" width="13.81640625" customWidth="1"/>
    <col min="4" max="4" width="19.26953125" customWidth="1"/>
    <col min="5" max="5" width="14.90625" customWidth="1"/>
    <col min="6" max="6" width="20.90625" customWidth="1"/>
    <col min="7" max="7" width="41.81640625" customWidth="1"/>
    <col min="8" max="16384" width="8.7265625" hidden="1"/>
  </cols>
  <sheetData>
    <row r="1" spans="1:7" x14ac:dyDescent="0.35">
      <c r="A1" t="s">
        <v>197</v>
      </c>
      <c r="B1" t="s">
        <v>78</v>
      </c>
      <c r="C1" t="s">
        <v>68</v>
      </c>
      <c r="D1" t="s">
        <v>2</v>
      </c>
      <c r="E1" t="s">
        <v>69</v>
      </c>
      <c r="F1" t="s">
        <v>70</v>
      </c>
      <c r="G1" t="s">
        <v>31</v>
      </c>
    </row>
    <row r="2" spans="1:7" x14ac:dyDescent="0.35">
      <c r="A2" s="9" t="b">
        <v>1</v>
      </c>
      <c r="B2" t="s">
        <v>194</v>
      </c>
      <c r="C2" t="s">
        <v>72</v>
      </c>
      <c r="D2" t="s">
        <v>73</v>
      </c>
      <c r="E2" t="s">
        <v>74</v>
      </c>
      <c r="F2" t="s">
        <v>75</v>
      </c>
      <c r="G2" t="s">
        <v>71</v>
      </c>
    </row>
    <row r="3" spans="1:7" x14ac:dyDescent="0.35">
      <c r="A3" s="9" t="b">
        <v>1</v>
      </c>
      <c r="B3" t="s">
        <v>309</v>
      </c>
      <c r="C3" t="s">
        <v>310</v>
      </c>
      <c r="D3" t="s">
        <v>311</v>
      </c>
      <c r="E3" t="s">
        <v>312</v>
      </c>
      <c r="F3" t="s">
        <v>75</v>
      </c>
      <c r="G3" t="s">
        <v>313</v>
      </c>
    </row>
    <row r="4" spans="1:7" x14ac:dyDescent="0.35">
      <c r="A4" s="9" t="b">
        <v>1</v>
      </c>
      <c r="B4" t="s">
        <v>390</v>
      </c>
      <c r="C4" t="s">
        <v>310</v>
      </c>
      <c r="D4" t="s">
        <v>391</v>
      </c>
      <c r="E4" t="s">
        <v>392</v>
      </c>
      <c r="F4" t="s">
        <v>393</v>
      </c>
      <c r="G4" t="s">
        <v>394</v>
      </c>
    </row>
    <row r="5" spans="1:7" x14ac:dyDescent="0.35">
      <c r="A5" s="9" t="b">
        <v>1</v>
      </c>
      <c r="B5" t="s">
        <v>414</v>
      </c>
      <c r="C5" t="s">
        <v>72</v>
      </c>
      <c r="D5" t="s">
        <v>412</v>
      </c>
      <c r="G5" t="s">
        <v>413</v>
      </c>
    </row>
    <row r="6" spans="1:7" x14ac:dyDescent="0.35">
      <c r="A6" s="9" t="b">
        <v>1</v>
      </c>
      <c r="B6" t="s">
        <v>595</v>
      </c>
      <c r="C6" t="s">
        <v>72</v>
      </c>
      <c r="D6" t="s">
        <v>596</v>
      </c>
      <c r="E6" t="s">
        <v>74</v>
      </c>
      <c r="F6" t="s">
        <v>597</v>
      </c>
      <c r="G6" t="s">
        <v>598</v>
      </c>
    </row>
    <row r="7" spans="1:7" x14ac:dyDescent="0.35">
      <c r="A7" s="9" t="b">
        <v>1</v>
      </c>
      <c r="B7" t="s">
        <v>826</v>
      </c>
      <c r="C7" t="s">
        <v>310</v>
      </c>
      <c r="D7" t="s">
        <v>827</v>
      </c>
      <c r="E7" t="s">
        <v>171</v>
      </c>
      <c r="F7" t="s">
        <v>828</v>
      </c>
      <c r="G7" t="s">
        <v>829</v>
      </c>
    </row>
    <row r="8" spans="1:7" x14ac:dyDescent="0.35">
      <c r="A8" s="9" t="b">
        <v>0</v>
      </c>
    </row>
    <row r="9" spans="1:7" x14ac:dyDescent="0.35">
      <c r="A9" s="9" t="b">
        <v>0</v>
      </c>
    </row>
    <row r="10" spans="1:7" x14ac:dyDescent="0.35">
      <c r="A10" s="9" t="b">
        <v>0</v>
      </c>
    </row>
    <row r="11" spans="1:7" x14ac:dyDescent="0.35">
      <c r="A11" s="9" t="b">
        <v>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4E22B-8706-4C7D-8FD7-8DB91A3B148C}">
  <dimension ref="A1:H11"/>
  <sheetViews>
    <sheetView workbookViewId="0">
      <selection activeCell="F3" sqref="F3"/>
    </sheetView>
  </sheetViews>
  <sheetFormatPr defaultColWidth="0" defaultRowHeight="14.5" customHeight="1" zeroHeight="1" x14ac:dyDescent="0.35"/>
  <cols>
    <col min="1" max="1" width="16.90625" customWidth="1"/>
    <col min="2" max="2" width="22.26953125" customWidth="1"/>
    <col min="3" max="3" width="17.6328125" customWidth="1"/>
    <col min="4" max="4" width="13.81640625" customWidth="1"/>
    <col min="5" max="5" width="19.26953125" customWidth="1"/>
    <col min="6" max="6" width="41.81640625" customWidth="1"/>
    <col min="7" max="8" width="0" hidden="1" customWidth="1"/>
    <col min="9" max="16384" width="8.7265625" hidden="1"/>
  </cols>
  <sheetData>
    <row r="1" spans="1:6" x14ac:dyDescent="0.35">
      <c r="A1" s="22" t="s">
        <v>197</v>
      </c>
      <c r="B1" s="22" t="s">
        <v>190</v>
      </c>
      <c r="C1" s="22" t="s">
        <v>339</v>
      </c>
      <c r="D1" s="22" t="s">
        <v>243</v>
      </c>
      <c r="E1" s="22" t="s">
        <v>2</v>
      </c>
      <c r="F1" s="22" t="s">
        <v>31</v>
      </c>
    </row>
    <row r="2" spans="1:6" x14ac:dyDescent="0.35">
      <c r="A2" s="9" t="b">
        <v>1</v>
      </c>
      <c r="B2" t="s">
        <v>103</v>
      </c>
      <c r="C2">
        <v>1</v>
      </c>
      <c r="D2" t="s">
        <v>202</v>
      </c>
      <c r="E2" t="s">
        <v>202</v>
      </c>
      <c r="F2" t="s">
        <v>202</v>
      </c>
    </row>
    <row r="3" spans="1:6" x14ac:dyDescent="0.35">
      <c r="A3" s="9" t="b">
        <v>1</v>
      </c>
      <c r="B3" t="s">
        <v>125</v>
      </c>
      <c r="C3">
        <v>1</v>
      </c>
      <c r="D3" t="s">
        <v>340</v>
      </c>
      <c r="E3">
        <v>5012</v>
      </c>
      <c r="F3" t="s">
        <v>341</v>
      </c>
    </row>
    <row r="4" spans="1:6" x14ac:dyDescent="0.35">
      <c r="A4" s="9" t="b">
        <v>0</v>
      </c>
    </row>
    <row r="5" spans="1:6" x14ac:dyDescent="0.35">
      <c r="A5" s="9" t="b">
        <v>0</v>
      </c>
    </row>
    <row r="6" spans="1:6" x14ac:dyDescent="0.35">
      <c r="A6" s="9" t="b">
        <v>0</v>
      </c>
    </row>
    <row r="7" spans="1:6" x14ac:dyDescent="0.35">
      <c r="A7" s="9" t="b">
        <v>0</v>
      </c>
    </row>
    <row r="8" spans="1:6" x14ac:dyDescent="0.35">
      <c r="A8" s="9" t="b">
        <v>0</v>
      </c>
    </row>
    <row r="9" spans="1:6" x14ac:dyDescent="0.35">
      <c r="A9" s="9" t="b">
        <v>0</v>
      </c>
    </row>
    <row r="10" spans="1:6" x14ac:dyDescent="0.35">
      <c r="A10" s="9" t="b">
        <v>0</v>
      </c>
    </row>
    <row r="11" spans="1:6" x14ac:dyDescent="0.35">
      <c r="A11" s="9" t="b">
        <v>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A8BC-C561-4B6F-BC57-3A027560508C}">
  <dimension ref="A1:K40"/>
  <sheetViews>
    <sheetView workbookViewId="0">
      <selection activeCell="H7" sqref="H7"/>
    </sheetView>
  </sheetViews>
  <sheetFormatPr defaultColWidth="0" defaultRowHeight="14.5" customHeight="1" zeroHeight="1" x14ac:dyDescent="0.35"/>
  <cols>
    <col min="1" max="1" width="16.90625" customWidth="1"/>
    <col min="2" max="2" width="12.6328125" customWidth="1"/>
    <col min="3" max="7" width="13.81640625" customWidth="1"/>
    <col min="8" max="8" width="19.26953125" customWidth="1"/>
    <col min="9" max="9" width="41.81640625" customWidth="1"/>
    <col min="10" max="11" width="0" hidden="1" customWidth="1"/>
    <col min="12" max="16384" width="8.7265625" hidden="1"/>
  </cols>
  <sheetData>
    <row r="1" spans="1:9" x14ac:dyDescent="0.35">
      <c r="A1" s="21" t="s">
        <v>197</v>
      </c>
      <c r="B1" s="21" t="s">
        <v>294</v>
      </c>
      <c r="C1" s="21" t="s">
        <v>295</v>
      </c>
      <c r="D1" s="21" t="s">
        <v>729</v>
      </c>
      <c r="E1" s="21" t="s">
        <v>732</v>
      </c>
      <c r="F1" s="21" t="s">
        <v>576</v>
      </c>
      <c r="G1" s="21" t="s">
        <v>297</v>
      </c>
      <c r="H1" s="21" t="s">
        <v>2</v>
      </c>
      <c r="I1" s="21" t="s">
        <v>31</v>
      </c>
    </row>
    <row r="2" spans="1:9" x14ac:dyDescent="0.35">
      <c r="A2" s="9" t="b">
        <v>1</v>
      </c>
      <c r="B2" t="s">
        <v>296</v>
      </c>
      <c r="C2" t="s">
        <v>298</v>
      </c>
      <c r="D2" t="s">
        <v>117</v>
      </c>
      <c r="E2" t="s">
        <v>299</v>
      </c>
      <c r="G2" t="s">
        <v>125</v>
      </c>
      <c r="H2" t="s">
        <v>300</v>
      </c>
      <c r="I2" t="s">
        <v>301</v>
      </c>
    </row>
    <row r="3" spans="1:9" x14ac:dyDescent="0.35">
      <c r="A3" s="9" t="b">
        <v>1</v>
      </c>
      <c r="B3" t="s">
        <v>296</v>
      </c>
      <c r="C3" t="s">
        <v>298</v>
      </c>
      <c r="D3" t="s">
        <v>117</v>
      </c>
      <c r="E3" t="s">
        <v>575</v>
      </c>
      <c r="F3" t="s">
        <v>577</v>
      </c>
      <c r="G3" t="s">
        <v>578</v>
      </c>
      <c r="H3" t="s">
        <v>579</v>
      </c>
      <c r="I3" t="s">
        <v>580</v>
      </c>
    </row>
    <row r="4" spans="1:9" x14ac:dyDescent="0.35">
      <c r="A4" s="9" t="b">
        <v>1</v>
      </c>
      <c r="B4" t="s">
        <v>296</v>
      </c>
      <c r="C4" t="s">
        <v>298</v>
      </c>
      <c r="D4" t="s">
        <v>731</v>
      </c>
      <c r="E4" t="s">
        <v>584</v>
      </c>
      <c r="F4" t="s">
        <v>585</v>
      </c>
      <c r="G4" t="s">
        <v>583</v>
      </c>
      <c r="H4" t="s">
        <v>586</v>
      </c>
      <c r="I4" t="s">
        <v>587</v>
      </c>
    </row>
    <row r="5" spans="1:9" x14ac:dyDescent="0.35">
      <c r="A5" s="9" t="b">
        <v>1</v>
      </c>
      <c r="B5" t="s">
        <v>688</v>
      </c>
      <c r="C5" t="s">
        <v>687</v>
      </c>
      <c r="D5" t="s">
        <v>731</v>
      </c>
      <c r="E5" t="s">
        <v>733</v>
      </c>
      <c r="F5" t="s">
        <v>689</v>
      </c>
      <c r="G5" t="s">
        <v>690</v>
      </c>
      <c r="H5" t="s">
        <v>692</v>
      </c>
      <c r="I5" t="s">
        <v>691</v>
      </c>
    </row>
    <row r="6" spans="1:9" x14ac:dyDescent="0.35">
      <c r="A6" s="9" t="b">
        <v>1</v>
      </c>
      <c r="B6" t="s">
        <v>296</v>
      </c>
      <c r="C6" t="s">
        <v>727</v>
      </c>
      <c r="D6" s="4" t="s">
        <v>730</v>
      </c>
      <c r="E6" s="4" t="s">
        <v>734</v>
      </c>
      <c r="F6" t="s">
        <v>735</v>
      </c>
      <c r="G6" t="s">
        <v>583</v>
      </c>
      <c r="H6" t="s">
        <v>728</v>
      </c>
      <c r="I6" t="s">
        <v>736</v>
      </c>
    </row>
    <row r="7" spans="1:9" x14ac:dyDescent="0.35">
      <c r="A7" s="9" t="b">
        <v>1</v>
      </c>
      <c r="B7" t="s">
        <v>296</v>
      </c>
      <c r="C7" t="s">
        <v>298</v>
      </c>
      <c r="D7" t="s">
        <v>14</v>
      </c>
      <c r="E7" t="s">
        <v>764</v>
      </c>
      <c r="F7" t="s">
        <v>765</v>
      </c>
      <c r="G7" t="s">
        <v>766</v>
      </c>
      <c r="H7" t="s">
        <v>763</v>
      </c>
      <c r="I7" t="s">
        <v>767</v>
      </c>
    </row>
    <row r="8" spans="1:9" x14ac:dyDescent="0.35">
      <c r="A8" s="9" t="b">
        <v>1</v>
      </c>
      <c r="B8" t="s">
        <v>296</v>
      </c>
      <c r="C8" t="s">
        <v>298</v>
      </c>
      <c r="D8" t="s">
        <v>106</v>
      </c>
      <c r="E8" t="s">
        <v>768</v>
      </c>
      <c r="F8" t="s">
        <v>769</v>
      </c>
      <c r="G8" t="s">
        <v>813</v>
      </c>
      <c r="H8" t="s">
        <v>770</v>
      </c>
      <c r="I8" t="s">
        <v>771</v>
      </c>
    </row>
    <row r="9" spans="1:9" x14ac:dyDescent="0.35">
      <c r="A9" s="9" t="b">
        <v>1</v>
      </c>
      <c r="B9" t="s">
        <v>296</v>
      </c>
      <c r="C9" t="s">
        <v>298</v>
      </c>
      <c r="D9" t="s">
        <v>659</v>
      </c>
      <c r="E9" t="s">
        <v>811</v>
      </c>
      <c r="F9" t="s">
        <v>812</v>
      </c>
      <c r="G9" t="s">
        <v>813</v>
      </c>
      <c r="H9" t="s">
        <v>814</v>
      </c>
      <c r="I9" t="s">
        <v>815</v>
      </c>
    </row>
    <row r="10" spans="1:9" x14ac:dyDescent="0.35">
      <c r="A10" s="9" t="b">
        <v>0</v>
      </c>
    </row>
    <row r="11" spans="1:9" x14ac:dyDescent="0.35">
      <c r="A11" s="9" t="b">
        <v>0</v>
      </c>
    </row>
    <row r="12" spans="1:9" ht="14.5" customHeight="1" x14ac:dyDescent="0.35">
      <c r="A12" s="9" t="b">
        <v>0</v>
      </c>
    </row>
    <row r="13" spans="1:9" ht="14.5" customHeight="1" x14ac:dyDescent="0.35">
      <c r="A13" s="9" t="b">
        <v>0</v>
      </c>
    </row>
    <row r="14" spans="1:9" ht="14.5" customHeight="1" x14ac:dyDescent="0.35">
      <c r="A14" s="9" t="b">
        <v>0</v>
      </c>
    </row>
    <row r="15" spans="1:9" ht="14.5" customHeight="1" x14ac:dyDescent="0.35">
      <c r="A15" s="9" t="b">
        <v>0</v>
      </c>
    </row>
    <row r="16" spans="1:9" ht="14.5" customHeight="1" x14ac:dyDescent="0.35">
      <c r="A16" s="9" t="b">
        <v>0</v>
      </c>
    </row>
    <row r="17" spans="1:1" ht="14.5" customHeight="1" x14ac:dyDescent="0.35">
      <c r="A17" s="9" t="b">
        <v>0</v>
      </c>
    </row>
    <row r="18" spans="1:1" ht="14.5" customHeight="1" x14ac:dyDescent="0.35">
      <c r="A18" s="9" t="b">
        <v>0</v>
      </c>
    </row>
    <row r="19" spans="1:1" ht="14.5" customHeight="1" x14ac:dyDescent="0.35">
      <c r="A19" s="9" t="b">
        <v>0</v>
      </c>
    </row>
    <row r="20" spans="1:1" ht="14.5" customHeight="1" x14ac:dyDescent="0.35">
      <c r="A20" s="9" t="b">
        <v>0</v>
      </c>
    </row>
    <row r="21" spans="1:1" ht="14.5" customHeight="1" x14ac:dyDescent="0.35">
      <c r="A21" s="9" t="b">
        <v>0</v>
      </c>
    </row>
    <row r="22" spans="1:1" ht="14.5" customHeight="1" x14ac:dyDescent="0.35">
      <c r="A22" s="9" t="b">
        <v>0</v>
      </c>
    </row>
    <row r="23" spans="1:1" ht="14.5" customHeight="1" x14ac:dyDescent="0.35">
      <c r="A23" s="9" t="b">
        <v>0</v>
      </c>
    </row>
    <row r="24" spans="1:1" ht="14.5" customHeight="1" x14ac:dyDescent="0.35">
      <c r="A24" s="9" t="b">
        <v>0</v>
      </c>
    </row>
    <row r="25" spans="1:1" ht="14.5" customHeight="1" x14ac:dyDescent="0.35">
      <c r="A25" s="9" t="b">
        <v>0</v>
      </c>
    </row>
    <row r="26" spans="1:1" ht="14.5" customHeight="1" x14ac:dyDescent="0.35">
      <c r="A26" s="9" t="b">
        <v>0</v>
      </c>
    </row>
    <row r="27" spans="1:1" ht="14.5" customHeight="1" x14ac:dyDescent="0.35">
      <c r="A27" s="9" t="b">
        <v>0</v>
      </c>
    </row>
    <row r="28" spans="1:1" ht="14.5" customHeight="1" x14ac:dyDescent="0.35">
      <c r="A28" s="9" t="b">
        <v>0</v>
      </c>
    </row>
    <row r="29" spans="1:1" ht="14.5" customHeight="1" x14ac:dyDescent="0.35">
      <c r="A29" s="9" t="b">
        <v>0</v>
      </c>
    </row>
    <row r="30" spans="1:1" ht="14.5" customHeight="1" x14ac:dyDescent="0.35">
      <c r="A30" s="9" t="b">
        <v>0</v>
      </c>
    </row>
    <row r="31" spans="1:1" ht="14.5" customHeight="1" x14ac:dyDescent="0.35">
      <c r="A31" s="9" t="b">
        <v>0</v>
      </c>
    </row>
    <row r="32" spans="1:1" ht="14.5" customHeight="1" x14ac:dyDescent="0.35">
      <c r="A32" s="9" t="b">
        <v>0</v>
      </c>
    </row>
    <row r="33" spans="1:1" ht="14.5" customHeight="1" x14ac:dyDescent="0.35">
      <c r="A33" s="9" t="b">
        <v>0</v>
      </c>
    </row>
    <row r="34" spans="1:1" ht="14.5" customHeight="1" x14ac:dyDescent="0.35">
      <c r="A34" s="9" t="b">
        <v>0</v>
      </c>
    </row>
    <row r="35" spans="1:1" ht="14.5" customHeight="1" x14ac:dyDescent="0.35">
      <c r="A35" s="9" t="b">
        <v>0</v>
      </c>
    </row>
    <row r="36" spans="1:1" ht="14.5" customHeight="1" x14ac:dyDescent="0.35">
      <c r="A36" s="9" t="b">
        <v>0</v>
      </c>
    </row>
    <row r="37" spans="1:1" ht="14.5" customHeight="1" x14ac:dyDescent="0.35">
      <c r="A37" s="9" t="b">
        <v>0</v>
      </c>
    </row>
    <row r="38" spans="1:1" ht="14.5" customHeight="1" x14ac:dyDescent="0.35">
      <c r="A38" s="9" t="b">
        <v>0</v>
      </c>
    </row>
    <row r="39" spans="1:1" ht="14.5" customHeight="1" x14ac:dyDescent="0.35">
      <c r="A39" s="9" t="b">
        <v>0</v>
      </c>
    </row>
    <row r="40" spans="1:1" ht="14.5" customHeight="1" x14ac:dyDescent="0.35">
      <c r="A40" s="9" t="b">
        <v>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ACF1C-C12B-4B5A-BD57-0454748C5027}">
  <dimension ref="A1:J30"/>
  <sheetViews>
    <sheetView zoomScale="116" workbookViewId="0">
      <selection activeCell="C14" sqref="C14"/>
    </sheetView>
  </sheetViews>
  <sheetFormatPr defaultColWidth="0" defaultRowHeight="14.5" zeroHeight="1" x14ac:dyDescent="0.35"/>
  <cols>
    <col min="1" max="8" width="15.6328125" customWidth="1"/>
    <col min="9" max="9" width="18.54296875" customWidth="1"/>
    <col min="10" max="10" width="54.90625" customWidth="1"/>
    <col min="11" max="16384" width="15.6328125" hidden="1"/>
  </cols>
  <sheetData>
    <row r="1" spans="1:10" x14ac:dyDescent="0.35">
      <c r="A1" t="s">
        <v>197</v>
      </c>
      <c r="B1" t="s">
        <v>83</v>
      </c>
      <c r="C1" t="s">
        <v>223</v>
      </c>
      <c r="D1" t="s">
        <v>225</v>
      </c>
      <c r="E1" t="s">
        <v>85</v>
      </c>
      <c r="F1" t="s">
        <v>88</v>
      </c>
      <c r="G1" t="s">
        <v>192</v>
      </c>
      <c r="H1" t="s">
        <v>3</v>
      </c>
      <c r="I1" t="s">
        <v>2</v>
      </c>
      <c r="J1" t="s">
        <v>31</v>
      </c>
    </row>
    <row r="2" spans="1:10" x14ac:dyDescent="0.35">
      <c r="A2" s="9" t="b">
        <v>1</v>
      </c>
      <c r="B2" t="s">
        <v>84</v>
      </c>
      <c r="C2" t="s">
        <v>229</v>
      </c>
      <c r="D2" t="s">
        <v>226</v>
      </c>
      <c r="E2" t="s">
        <v>86</v>
      </c>
      <c r="F2" t="s">
        <v>89</v>
      </c>
      <c r="G2" t="s">
        <v>103</v>
      </c>
      <c r="I2" t="s">
        <v>87</v>
      </c>
      <c r="J2" t="s">
        <v>227</v>
      </c>
    </row>
    <row r="3" spans="1:10" x14ac:dyDescent="0.35">
      <c r="A3" s="9" t="b">
        <v>1</v>
      </c>
      <c r="B3" t="s">
        <v>84</v>
      </c>
      <c r="C3" t="s">
        <v>363</v>
      </c>
      <c r="D3" s="4" t="s">
        <v>364</v>
      </c>
      <c r="E3" t="s">
        <v>365</v>
      </c>
      <c r="F3" t="s">
        <v>119</v>
      </c>
      <c r="G3" t="s">
        <v>125</v>
      </c>
      <c r="H3" t="s">
        <v>807</v>
      </c>
      <c r="I3" t="s">
        <v>366</v>
      </c>
      <c r="J3" t="s">
        <v>367</v>
      </c>
    </row>
    <row r="4" spans="1:10" x14ac:dyDescent="0.35">
      <c r="A4" s="9" t="b">
        <v>1</v>
      </c>
      <c r="B4" t="s">
        <v>84</v>
      </c>
      <c r="C4" t="s">
        <v>363</v>
      </c>
      <c r="D4" t="s">
        <v>372</v>
      </c>
      <c r="E4" t="s">
        <v>371</v>
      </c>
      <c r="F4" t="s">
        <v>171</v>
      </c>
      <c r="G4" t="s">
        <v>103</v>
      </c>
      <c r="I4" t="s">
        <v>373</v>
      </c>
      <c r="J4" t="s">
        <v>374</v>
      </c>
    </row>
    <row r="5" spans="1:10" x14ac:dyDescent="0.35">
      <c r="A5" s="9" t="b">
        <v>1</v>
      </c>
      <c r="B5" t="s">
        <v>84</v>
      </c>
      <c r="C5" t="s">
        <v>363</v>
      </c>
      <c r="D5" t="s">
        <v>616</v>
      </c>
      <c r="E5" t="s">
        <v>597</v>
      </c>
      <c r="F5" t="s">
        <v>617</v>
      </c>
      <c r="G5" t="s">
        <v>103</v>
      </c>
      <c r="I5" t="s">
        <v>618</v>
      </c>
      <c r="J5" t="s">
        <v>619</v>
      </c>
    </row>
    <row r="6" spans="1:10" x14ac:dyDescent="0.35">
      <c r="A6" s="9" t="b">
        <v>1</v>
      </c>
      <c r="B6" t="s">
        <v>84</v>
      </c>
      <c r="C6" t="s">
        <v>363</v>
      </c>
      <c r="D6" t="s">
        <v>545</v>
      </c>
      <c r="E6" t="s">
        <v>86</v>
      </c>
      <c r="F6" t="s">
        <v>722</v>
      </c>
      <c r="G6" t="s">
        <v>103</v>
      </c>
      <c r="I6" t="s">
        <v>723</v>
      </c>
      <c r="J6" t="s">
        <v>724</v>
      </c>
    </row>
    <row r="7" spans="1:10" x14ac:dyDescent="0.35">
      <c r="A7" s="9" t="b">
        <v>1</v>
      </c>
      <c r="B7" t="s">
        <v>84</v>
      </c>
      <c r="C7" t="s">
        <v>363</v>
      </c>
      <c r="D7" t="s">
        <v>545</v>
      </c>
      <c r="E7" t="s">
        <v>86</v>
      </c>
      <c r="F7" t="s">
        <v>312</v>
      </c>
      <c r="G7" t="s">
        <v>103</v>
      </c>
      <c r="I7" t="s">
        <v>725</v>
      </c>
      <c r="J7" t="s">
        <v>726</v>
      </c>
    </row>
    <row r="8" spans="1:10" x14ac:dyDescent="0.35">
      <c r="A8" s="9" t="b">
        <v>1</v>
      </c>
      <c r="B8" t="s">
        <v>143</v>
      </c>
      <c r="C8" t="s">
        <v>224</v>
      </c>
      <c r="D8" t="s">
        <v>228</v>
      </c>
      <c r="E8" t="s">
        <v>146</v>
      </c>
      <c r="F8" t="s">
        <v>144</v>
      </c>
      <c r="G8" t="s">
        <v>103</v>
      </c>
      <c r="H8" t="s">
        <v>808</v>
      </c>
      <c r="I8" t="s">
        <v>145</v>
      </c>
      <c r="J8" t="s">
        <v>147</v>
      </c>
    </row>
    <row r="9" spans="1:10" x14ac:dyDescent="0.35">
      <c r="A9" s="9" t="b">
        <v>1</v>
      </c>
      <c r="B9" t="s">
        <v>143</v>
      </c>
      <c r="C9" t="s">
        <v>224</v>
      </c>
      <c r="D9" t="s">
        <v>548</v>
      </c>
      <c r="E9" t="s">
        <v>545</v>
      </c>
      <c r="F9" t="s">
        <v>392</v>
      </c>
      <c r="G9" t="s">
        <v>103</v>
      </c>
      <c r="I9" t="s">
        <v>546</v>
      </c>
      <c r="J9" t="s">
        <v>547</v>
      </c>
    </row>
    <row r="10" spans="1:10" x14ac:dyDescent="0.35">
      <c r="A10" s="9" t="b">
        <v>1</v>
      </c>
      <c r="B10" t="s">
        <v>143</v>
      </c>
      <c r="C10" t="s">
        <v>224</v>
      </c>
      <c r="D10" t="s">
        <v>650</v>
      </c>
      <c r="E10" t="s">
        <v>597</v>
      </c>
      <c r="F10" t="s">
        <v>119</v>
      </c>
      <c r="G10" t="s">
        <v>103</v>
      </c>
      <c r="I10" t="s">
        <v>651</v>
      </c>
      <c r="J10" t="s">
        <v>652</v>
      </c>
    </row>
    <row r="11" spans="1:10" x14ac:dyDescent="0.35">
      <c r="A11" s="9" t="b">
        <v>1</v>
      </c>
      <c r="B11" t="s">
        <v>143</v>
      </c>
      <c r="C11" t="s">
        <v>224</v>
      </c>
      <c r="D11" t="s">
        <v>804</v>
      </c>
      <c r="E11" t="s">
        <v>805</v>
      </c>
      <c r="F11" t="s">
        <v>803</v>
      </c>
      <c r="G11" t="s">
        <v>103</v>
      </c>
      <c r="H11" t="s">
        <v>808</v>
      </c>
      <c r="I11" t="s">
        <v>802</v>
      </c>
      <c r="J11" t="s">
        <v>806</v>
      </c>
    </row>
    <row r="12" spans="1:10" x14ac:dyDescent="0.35">
      <c r="A12" s="9" t="b">
        <v>1</v>
      </c>
      <c r="B12" t="s">
        <v>143</v>
      </c>
      <c r="C12" t="s">
        <v>224</v>
      </c>
      <c r="D12" t="s">
        <v>844</v>
      </c>
      <c r="E12" t="s">
        <v>845</v>
      </c>
      <c r="F12" t="s">
        <v>119</v>
      </c>
      <c r="G12" t="s">
        <v>103</v>
      </c>
      <c r="H12" t="s">
        <v>846</v>
      </c>
      <c r="I12" t="s">
        <v>842</v>
      </c>
      <c r="J12" t="s">
        <v>843</v>
      </c>
    </row>
    <row r="13" spans="1:10" x14ac:dyDescent="0.35">
      <c r="A13" s="9" t="b">
        <v>0</v>
      </c>
    </row>
    <row r="14" spans="1:10" x14ac:dyDescent="0.35">
      <c r="A14" s="9" t="b">
        <v>0</v>
      </c>
    </row>
    <row r="15" spans="1:10" x14ac:dyDescent="0.35">
      <c r="A15" s="9" t="b">
        <v>0</v>
      </c>
    </row>
    <row r="16" spans="1:10" x14ac:dyDescent="0.35">
      <c r="A16" s="9" t="b">
        <v>0</v>
      </c>
    </row>
    <row r="17" spans="1:1" x14ac:dyDescent="0.35">
      <c r="A17" s="9" t="b">
        <v>0</v>
      </c>
    </row>
    <row r="18" spans="1:1" x14ac:dyDescent="0.35">
      <c r="A18" s="9" t="b">
        <v>0</v>
      </c>
    </row>
    <row r="19" spans="1:1" x14ac:dyDescent="0.35">
      <c r="A19" s="9" t="b">
        <v>0</v>
      </c>
    </row>
    <row r="20" spans="1:1" x14ac:dyDescent="0.35">
      <c r="A20" s="9" t="b">
        <v>0</v>
      </c>
    </row>
    <row r="21" spans="1:1" x14ac:dyDescent="0.35">
      <c r="A21" s="9" t="b">
        <v>0</v>
      </c>
    </row>
    <row r="22" spans="1:1" x14ac:dyDescent="0.35">
      <c r="A22" s="9" t="b">
        <v>0</v>
      </c>
    </row>
    <row r="23" spans="1:1" x14ac:dyDescent="0.35">
      <c r="A23" s="9" t="b">
        <v>0</v>
      </c>
    </row>
    <row r="24" spans="1:1" x14ac:dyDescent="0.35">
      <c r="A24" s="9" t="b">
        <v>0</v>
      </c>
    </row>
    <row r="25" spans="1:1" x14ac:dyDescent="0.35">
      <c r="A25" s="9" t="b">
        <v>0</v>
      </c>
    </row>
    <row r="26" spans="1:1" x14ac:dyDescent="0.35">
      <c r="A26" s="9" t="b">
        <v>0</v>
      </c>
    </row>
    <row r="27" spans="1:1" x14ac:dyDescent="0.35">
      <c r="A27" s="9" t="b">
        <v>0</v>
      </c>
    </row>
    <row r="28" spans="1:1" x14ac:dyDescent="0.35">
      <c r="A28" s="9" t="b">
        <v>0</v>
      </c>
    </row>
    <row r="29" spans="1:1" x14ac:dyDescent="0.35">
      <c r="A29" s="9" t="b">
        <v>0</v>
      </c>
    </row>
    <row r="30" spans="1:1" x14ac:dyDescent="0.35">
      <c r="A30" s="9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Welcome!</vt:lpstr>
      <vt:lpstr>Capacitors</vt:lpstr>
      <vt:lpstr>Connectors</vt:lpstr>
      <vt:lpstr>Crystals &amp; Oscillators</vt:lpstr>
      <vt:lpstr>Diodes</vt:lpstr>
      <vt:lpstr>ICs</vt:lpstr>
      <vt:lpstr>Devices</vt:lpstr>
      <vt:lpstr>Ferrite Beads</vt:lpstr>
      <vt:lpstr>Fuses</vt:lpstr>
      <vt:lpstr>Inductors</vt:lpstr>
      <vt:lpstr>LEDs</vt:lpstr>
      <vt:lpstr>Memory</vt:lpstr>
      <vt:lpstr>Misc Components</vt:lpstr>
      <vt:lpstr>Mounts, Pads, Vias</vt:lpstr>
      <vt:lpstr>MCUs</vt:lpstr>
      <vt:lpstr>Resistors</vt:lpstr>
      <vt:lpstr>Switches</vt:lpstr>
      <vt:lpstr>Test Points</vt:lpstr>
      <vt:lpstr>Transistors</vt:lpstr>
      <vt:lpstr>Voltage Regulators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MacGregor, Russell</dc:creator>
  <cp:lastModifiedBy>MacGregor, Russell</cp:lastModifiedBy>
  <dcterms:created xsi:type="dcterms:W3CDTF">2026-02-05T20:24:51Z</dcterms:created>
  <dcterms:modified xsi:type="dcterms:W3CDTF">2026-10-03T22:56:49Z</dcterms:modified>
</cp:coreProperties>
</file>