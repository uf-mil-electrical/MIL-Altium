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CE5C6B81-9926-4547-920E-034227F104A7}" xr6:coauthVersionLast="47" xr6:coauthVersionMax="47" xr10:uidLastSave="{00000000-0000-0000-0000-000000000000}"/>
  <bookViews>
    <workbookView xWindow="-110" yWindow="-110" windowWidth="19420" windowHeight="11500" firstSheet="8" activeTab="10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CUs" sheetId="6" r:id="rId14"/>
    <sheet name="Resistors" sheetId="2" r:id="rId15"/>
    <sheet name="Switches" sheetId="11" r:id="rId16"/>
    <sheet name="Test Points" sheetId="19" r:id="rId17"/>
    <sheet name="Transistors" sheetId="18" r:id="rId18"/>
    <sheet name="Voltage Regulators" sheetId="4" r:id="rId19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8" i="2"/>
  <c r="C17" i="2"/>
  <c r="C19" i="2"/>
  <c r="C14" i="2"/>
  <c r="C7" i="2"/>
  <c r="C20" i="2"/>
  <c r="C21" i="2"/>
  <c r="C22" i="2"/>
  <c r="C2" i="2"/>
  <c r="C3" i="2"/>
  <c r="C4" i="2"/>
  <c r="C5" i="2"/>
  <c r="C6" i="2"/>
  <c r="C8" i="2"/>
  <c r="C9" i="2"/>
  <c r="C10" i="2"/>
  <c r="C11" i="2"/>
  <c r="C12" i="2"/>
  <c r="C13" i="2"/>
  <c r="C15" i="2"/>
</calcChain>
</file>

<file path=xl/sharedStrings.xml><?xml version="1.0" encoding="utf-8"?>
<sst xmlns="http://schemas.openxmlformats.org/spreadsheetml/2006/main" count="618" uniqueCount="373">
  <si>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</si>
  <si>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</si>
  <si>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</si>
  <si>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</si>
  <si>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</si>
  <si>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</si>
  <si>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</si>
  <si>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</si>
  <si>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</si>
  <si>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</si>
  <si>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</si>
  <si>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</si>
  <si>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</si>
  <si>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</si>
  <si>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</si>
  <si>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</si>
  <si>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</si>
  <si>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</si>
  <si>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</si>
  <si>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</si>
  <si>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</si>
  <si>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</si>
  <si>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</si>
  <si>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</si>
  <si>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</si>
  <si>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</si>
  <si>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</si>
  <si>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</si>
  <si>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</si>
  <si>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</si>
  <si>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</si>
  <si>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</si>
  <si>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</si>
  <si>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</si>
  <si>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</si>
  <si>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</si>
  <si>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</si>
  <si>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</si>
  <si>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</si>
  <si>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</si>
  <si>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</si>
  <si>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</si>
  <si>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</si>
  <si>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</si>
  <si>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</si>
  <si>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</si>
  <si>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</si>
  <si>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</si>
  <si>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</si>
  <si>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</si>
  <si>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</si>
  <si>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</si>
  <si>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</si>
  <si>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</si>
  <si>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</si>
  <si>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</si>
  <si>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</si>
  <si>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</si>
  <si>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</si>
  <si>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</si>
  <si>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</si>
  <si>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</si>
  <si>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</si>
  <si>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</si>
  <si>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</si>
  <si>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</si>
  <si>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</si>
  <si>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</si>
  <si>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</si>
  <si>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</si>
  <si>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</si>
  <si>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</si>
  <si>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</si>
  <si>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</si>
  <si>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</si>
  <si>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</si>
  <si>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</si>
  <si>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</si>
  <si>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</si>
  <si>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</si>
  <si>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</si>
  <si>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</si>
  <si>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</si>
  <si>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</si>
  <si>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</si>
  <si>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</si>
  <si>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</si>
  <si>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</si>
  <si>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</si>
  <si>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</si>
  <si>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</si>
  <si>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</si>
  <si>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</si>
  <si>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</si>
  <si>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</si>
  <si>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</si>
  <si>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</si>
  <si>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</si>
  <si>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</si>
  <si>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</si>
  <si>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</si>
  <si>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</si>
  <si>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</si>
  <si>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</si>
  <si>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</si>
  <si>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</si>
  <si>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</si>
  <si>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</si>
  <si>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</si>
  <si>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</si>
  <si>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</si>
  <si>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</si>
  <si>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</si>
  <si>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</si>
  <si>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</si>
  <si>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</si>
  <si>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</si>
  <si>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</si>
  <si>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</si>
  <si>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</si>
  <si>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</si>
  <si>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</si>
  <si>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</si>
  <si>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</si>
  <si>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</si>
  <si>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</si>
  <si>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</si>
  <si>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</si>
  <si>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</si>
  <si>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</si>
  <si>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</si>
  <si>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</si>
  <si>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</si>
  <si>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</si>
  <si>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</si>
  <si>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</si>
  <si>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</si>
  <si>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</si>
  <si>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</si>
  <si>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</si>
  <si>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</si>
  <si>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</si>
  <si>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</si>
  <si>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</si>
  <si>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</si>
  <si>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</si>
  <si>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</si>
  <si>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</si>
  <si>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</si>
  <si>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</si>
  <si>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</si>
  <si>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</si>
  <si>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</si>
  <si>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</si>
  <si>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</si>
  <si>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</si>
  <si>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</si>
  <si>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</si>
  <si>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</si>
  <si>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</si>
  <si>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</si>
  <si>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</si>
  <si>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</si>
  <si>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</si>
  <si>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</si>
  <si>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</si>
  <si>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</si>
  <si>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</si>
  <si>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</si>
  <si>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</si>
  <si>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</si>
  <si>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</si>
  <si>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</si>
  <si>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</si>
  <si>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</si>
  <si>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</si>
  <si>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</si>
  <si>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</si>
  <si>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</si>
  <si>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</si>
  <si>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</si>
  <si>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</si>
  <si>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</si>
  <si>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</si>
  <si>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</si>
  <si>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</si>
  <si>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</si>
  <si>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</si>
  <si>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</si>
  <si>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</si>
  <si>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</si>
  <si>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</si>
  <si>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</si>
  <si>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</si>
  <si>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</si>
  <si>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</si>
  <si>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</si>
  <si>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</si>
  <si>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</si>
  <si>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</si>
  <si>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</si>
  <si>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</si>
  <si>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</si>
  <si>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</si>
  <si>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</si>
  <si>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</si>
  <si>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</si>
  <si>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</si>
  <si>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</si>
  <si>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</si>
  <si>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</si>
  <si>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</si>
  <si>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</si>
  <si>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</si>
  <si>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</si>
  <si>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</si>
  <si>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</si>
  <si>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</si>
  <si>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</si>
  <si>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</si>
  <si>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</si>
  <si>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</si>
  <si>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</si>
  <si>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</si>
  <si>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</si>
  <si>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</si>
  <si>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</si>
  <si>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</si>
  <si>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</si>
  <si>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</si>
  <si>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</si>
  <si>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</si>
  <si>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</si>
  <si>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</si>
  <si>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</si>
  <si>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</si>
  <si>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</si>
  <si>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</si>
  <si>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</si>
  <si>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</si>
  <si>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</si>
  <si>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</si>
  <si>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</si>
  <si>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</si>
  <si>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</si>
  <si>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</si>
  <si>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</si>
  <si>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</si>
  <si>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</si>
  <si>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</si>
  <si>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</si>
  <si>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</si>
  <si>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</si>
  <si>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</si>
  <si>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</si>
  <si>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</si>
  <si>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</si>
  <si>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</si>
  <si>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</si>
  <si>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</si>
  <si>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</si>
  <si>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</si>
  <si>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</si>
  <si>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</si>
  <si>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</si>
  <si>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</si>
  <si>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</si>
  <si>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</si>
  <si>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</si>
  <si>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</si>
  <si>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</si>
  <si>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</si>
  <si>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</si>
  <si>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</si>
  <si>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</si>
  <si>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</si>
  <si>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</si>
  <si>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</si>
  <si>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</si>
  <si>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</si>
  <si>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</si>
  <si>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</si>
  <si>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</si>
  <si>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</si>
  <si>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</si>
  <si>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</si>
  <si>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</si>
  <si>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</si>
  <si>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</si>
  <si>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</si>
  <si>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</si>
  <si>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</si>
  <si>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</si>
  <si>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</si>
  <si>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</si>
  <si>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</si>
  <si>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</si>
  <si>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</si>
  <si>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</si>
  <si>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</si>
  <si>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</si>
  <si>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</si>
  <si>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</si>
  <si>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</si>
  <si>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</si>
  <si>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</si>
  <si>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</si>
  <si>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</si>
  <si>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</si>
  <si>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</si>
  <si>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</si>
  <si>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</si>
  <si>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</si>
  <si>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</si>
  <si>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</si>
  <si>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</si>
  <si>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</si>
  <si>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</si>
  <si>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</si>
  <si>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</si>
  <si>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</si>
  <si>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</si>
  <si>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</si>
  <si>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</si>
  <si>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</si>
  <si>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</si>
  <si>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</si>
  <si>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</si>
  <si>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</si>
  <si>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</si>
  <si>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</si>
  <si>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</si>
  <si>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</si>
  <si>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</si>
  <si>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</si>
  <si>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</si>
  <si>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</si>
  <si>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</si>
  <si>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</si>
  <si>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</si>
  <si>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</si>
  <si>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</si>
  <si>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</si>
  <si>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61400826021</t>
  </si>
  <si>
    <t>USB-A (USB TYPE-A), Stacked USB 2.0 Receptacle Connector 8 Position Through Hole, Right Angle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</si>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</sst>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6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66"/>
    <tableColumn id="1" xr3:uid="{BDC3005D-8889-49B9-B05B-9B4FB822D92C}" name="Capacitance"/>
    <tableColumn id="2" xr3:uid="{204119AE-0485-4922-A3C8-7CDD048C63F5}" name="Package" dataDxfId="65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4"/>
    <tableColumn id="9" xr3:uid="{B82114B5-A4D9-4327-9F80-0D9587A64062}" name="Polarity" dataDxfId="63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31" totalsRowShown="0" headerRowDxfId="62">
  <autoFilter ref="A1:H31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61"/>
    <tableColumn id="1" xr3:uid="{D5AE5A29-FEF0-4556-97F0-002479587894}" name="Series / Family" dataDxfId="60"/>
    <tableColumn id="2" xr3:uid="{8673F73F-EA18-4F48-837C-C3D933082CD8}" name="# Pins" dataDxfId="59"/>
    <tableColumn id="3" xr3:uid="{F61E1994-58CD-4ECF-A835-1786BECF70C2}" name="Gender (plug/port)" dataDxfId="58"/>
    <tableColumn id="4" xr3:uid="{ADD992CB-74CD-4839-9C1F-4CA1C98DDDE6}" name="Part Number" dataDxfId="57"/>
    <tableColumn id="8" xr3:uid="{0052054B-61D9-4444-933B-4830DE18EF5D}" name="Mating Connector Part Number" dataDxfId="56"/>
    <tableColumn id="9" xr3:uid="{DF57140F-10E9-43CB-BE16-5AB59D2592F7}" name="Notes" dataDxfId="55"/>
    <tableColumn id="5" xr3:uid="{E04857DF-CEB1-4D64-87C3-2580C252E44F}" name="Description" dataDxfId="54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53">
  <autoFilter ref="A1:G7" xr:uid="{AC1B69C7-59BA-492E-BEF3-378F8F5A5F42}"/>
  <tableColumns count="7">
    <tableColumn id="7" xr3:uid="{373BF80E-AE0E-45C8-9A43-A9D96680B6E9}" name="Added to Altium?" dataDxfId="52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iodes3" displayName="Diodes3" ref="A1:F7" totalsRowShown="0" headerRowDxfId="51">
  <autoFilter ref="A1:F7" xr:uid="{C5737D88-F4D8-4117-9BA5-1B2CC31DE11A}"/>
  <tableColumns count="6">
    <tableColumn id="7" xr3:uid="{6415E46E-CEE3-460F-B779-529E15CD07B6}" name="Added to Altium?" dataDxfId="50"/>
    <tableColumn id="8" xr3:uid="{A1AE6712-2A25-444F-8418-5CCFC5CDB835}" name="Series" dataDxfId="4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8">
  <autoFilter ref="A1:E11" xr:uid="{EE7552C4-F486-457F-A2F8-480493B7351C}"/>
  <tableColumns count="5">
    <tableColumn id="5" xr3:uid="{7A1ACCA6-7C12-421C-A8B0-DAF52C5B82F1}" name="Added to Altium?" dataDxfId="47"/>
    <tableColumn id="1" xr3:uid="{29766E43-A003-4F30-8FBC-98197408FA6D}" name="Part Number" dataDxfId="46"/>
    <tableColumn id="2" xr3:uid="{9E0E83BD-C619-4B71-B8D8-093D6B07D9D5}" name="Package" dataDxfId="45"/>
    <tableColumn id="3" xr3:uid="{6C643D04-D582-419C-9C7F-1B57D4315CFE}" name="Resistance" dataDxfId="44"/>
    <tableColumn id="4" xr3:uid="{67D14711-9F21-4BBC-9182-15BB5F898016}" name="Description" dataDxfId="43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2">
  <autoFilter ref="A1:I10" xr:uid="{53E52592-BBF3-4884-BA3C-21683DC4F0F1}"/>
  <tableColumns count="9">
    <tableColumn id="7" xr3:uid="{9030A4FE-0A13-4A65-8271-CB2306DED874}" name="Added to Altium?" dataDxfId="41"/>
    <tableColumn id="8" xr3:uid="{7A093B6F-93A8-4A04-9A40-8451BE8854E4}" name="Type" dataDxfId="4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39"/>
    <tableColumn id="5" xr3:uid="{0460994E-DB61-407B-B7D3-3CAA8ED4BC9D}" name="Function" dataDxfId="3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7">
  <autoFilter ref="A1:E11" xr:uid="{8788865D-3714-4394-BD76-99FF24EF6888}"/>
  <tableColumns count="5">
    <tableColumn id="5" xr3:uid="{67CA846A-F07D-4034-8F63-B4E47CA7F931}" name="Added to Altium?" dataDxfId="36"/>
    <tableColumn id="1" xr3:uid="{EBC427FC-C649-421F-A511-F4C6E090217A}" name="Inductance" dataDxfId="35"/>
    <tableColumn id="2" xr3:uid="{57FAF0ED-182E-4A05-89A5-EE5FE9CF2C31}" name="Package" dataDxfId="34"/>
    <tableColumn id="3" xr3:uid="{5B4ACDCC-FB26-4063-91C8-D6D43ABD7134}" name="Part Number" dataDxfId="33"/>
    <tableColumn id="4" xr3:uid="{CFE06357-AAEA-49E4-8ED8-14478316C7C8}" name="Description" dataDxfId="3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68"/>
    <tableColumn id="8" xr3:uid="{22D7B7BF-E3CF-4637-92B5-B74434B0A877}" name="Type" dataDxfId="0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67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1">
  <autoFilter ref="A1:G10" xr:uid="{EF03BBEA-AE4C-45BB-9CD5-736F7FCCE237}"/>
  <tableColumns count="7">
    <tableColumn id="4" xr3:uid="{2AE73037-16FE-4A0E-B4B4-CF3863388825}" name="Added to Altium?" dataDxfId="30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9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8" dataDxfId="27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6"/>
    <tableColumn id="1" xr3:uid="{0881C807-AE0D-4E97-942D-F1BB4BC72740}" name="Name" dataDxfId="25"/>
    <tableColumn id="3" xr3:uid="{FF11C1E0-268B-4AB9-A529-8334EF2C69FD}" name="# GPIO" dataDxfId="24"/>
    <tableColumn id="8" xr3:uid="{55162BE7-C291-4B9F-ABE8-A7DE102A5A2F}" name="UART" dataDxfId="23"/>
    <tableColumn id="9" xr3:uid="{12871EC5-67F1-442C-B9F6-E715FA2B13DA}" name="SPI" dataDxfId="22"/>
    <tableColumn id="10" xr3:uid="{0676FDA2-81C4-49A9-A3D1-DEE7F28D8014}" name="I2C" dataDxfId="21"/>
    <tableColumn id="11" xr3:uid="{4D86DECE-60FC-46A0-B57F-AB144D9C1459}" name="PWM" dataDxfId="20"/>
    <tableColumn id="12" xr3:uid="{F498CA82-C855-4B59-BFFB-E076763E2C7B}" name="USB" dataDxfId="19"/>
    <tableColumn id="6" xr3:uid="{1C8B55E3-7B48-484B-9DEC-D60D33855BF8}" name="Part Number" dataDxfId="18"/>
    <tableColumn id="5" xr3:uid="{EB01044E-239A-43EB-B0C2-1F87DDB54160}" name="Description" dataDxfId="17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16" dataDxfId="15">
  <autoFilter ref="A1:H22" xr:uid="{FE99B236-7512-4792-AE6E-EED4D7BDA003}"/>
  <sortState xmlns:xlrd2="http://schemas.microsoft.com/office/spreadsheetml/2017/richdata2" ref="A2:H22">
    <sortCondition ref="C1:C22"/>
  </sortState>
  <tableColumns count="8">
    <tableColumn id="8" xr3:uid="{5CCC4BAB-E9A7-42D2-BFCF-40A14E4FCFB3}" name="Added to Altium?" dataDxfId="14"/>
    <tableColumn id="1" xr3:uid="{E2BB1AD3-36C9-4D80-8A78-E46D0D28B43D}" name="Resistance" dataDxfId="13"/>
    <tableColumn id="7" xr3:uid="{C2F2285A-BFA3-4714-8945-6FE63C9CDE81}" name="Res (Raw)" dataDxfId="12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1"/>
    <tableColumn id="3" xr3:uid="{F1269AFE-5CA5-4F00-93B8-6023E945504D}" name="Package" dataDxfId="10"/>
    <tableColumn id="4" xr3:uid="{A4374340-1758-433F-80B6-83ABF6D97E11}" name="Wattage" dataDxfId="9"/>
    <tableColumn id="5" xr3:uid="{7C53E4E9-C23D-4482-9A46-441AB8A4E1B1}" name="Part Number" dataDxfId="8"/>
    <tableColumn id="6" xr3:uid="{BD8216A4-1B75-4738-A589-0D33231AD075}" name="Description" dataDxfId="7"/>
  </tableColumns>
  <tableStyleInfo name="TableStyleMedium1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6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5">
  <autoFilter ref="A1:F11" xr:uid="{EA8CC69A-B6DA-4750-BA77-538662D89C27}"/>
  <tableColumns count="6">
    <tableColumn id="7" xr3:uid="{5FA1F5D0-B5EA-4DAB-B07A-643BF29E8565}" name="Added to Altium?" dataDxfId="4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3">
  <autoFilter ref="A1:H11" xr:uid="{EA8CC69A-B6DA-4750-BA77-538662D89C27}"/>
  <tableColumns count="8">
    <tableColumn id="7" xr3:uid="{3A0D6614-B80A-4184-9ADE-5206B38A06E5}" name="Added to Altium?" dataDxfId="2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1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182</v>
      </c>
    </row>
    <row r="2" spans="1:4" x14ac:dyDescent="0.35">
      <c r="A2" t="s">
        <v>183</v>
      </c>
    </row>
    <row r="3" spans="1:4" x14ac:dyDescent="0.35">
      <c r="A3" t="s">
        <v>194</v>
      </c>
      <c r="D3" t="s">
        <v>201</v>
      </c>
    </row>
    <row r="4" spans="1:4" x14ac:dyDescent="0.35">
      <c r="A4" t="s">
        <v>192</v>
      </c>
    </row>
    <row r="5" spans="1:4" x14ac:dyDescent="0.35">
      <c r="A5" t="s">
        <v>184</v>
      </c>
      <c r="D5" t="s">
        <v>202</v>
      </c>
    </row>
    <row r="6" spans="1:4" x14ac:dyDescent="0.35">
      <c r="A6" t="s">
        <v>195</v>
      </c>
    </row>
    <row r="7" spans="1:4" x14ac:dyDescent="0.35">
      <c r="A7" t="s">
        <v>193</v>
      </c>
    </row>
    <row r="8" spans="1:4" x14ac:dyDescent="0.35">
      <c r="A8" t="s">
        <v>188</v>
      </c>
    </row>
    <row r="9" spans="1:4" x14ac:dyDescent="0.35">
      <c r="A9" t="s">
        <v>187</v>
      </c>
    </row>
    <row r="10" spans="1:4" x14ac:dyDescent="0.35">
      <c r="A10" t="s">
        <v>190</v>
      </c>
    </row>
    <row r="11" spans="1:4" x14ac:dyDescent="0.35">
      <c r="A11" t="s">
        <v>191</v>
      </c>
    </row>
    <row r="12" spans="1:4" x14ac:dyDescent="0.35">
      <c r="A12" t="s">
        <v>237</v>
      </c>
    </row>
    <row r="13" spans="1:4" x14ac:dyDescent="0.35">
      <c r="A13" t="s">
        <v>185</v>
      </c>
    </row>
    <row r="14" spans="1:4" x14ac:dyDescent="0.35">
      <c r="A14" t="s">
        <v>186</v>
      </c>
    </row>
    <row r="15" spans="1:4" x14ac:dyDescent="0.35">
      <c r="A15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A12" sqref="A1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203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196</v>
      </c>
      <c r="G1" s="2" t="s">
        <v>206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204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204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204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204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204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204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204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205</v>
      </c>
      <c r="H9" t="s">
        <v>116</v>
      </c>
      <c r="I9" t="s">
        <v>114</v>
      </c>
    </row>
    <row r="10" spans="1:9" x14ac:dyDescent="0.35">
      <c r="A10" s="9" t="b">
        <v>1</v>
      </c>
      <c r="B10" t="s">
        <v>300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204</v>
      </c>
      <c r="H10" t="s">
        <v>10</v>
      </c>
      <c r="I10" t="s">
        <v>299</v>
      </c>
    </row>
    <row r="11" spans="1:9" x14ac:dyDescent="0.35">
      <c r="A11" s="9" t="b">
        <v>1</v>
      </c>
      <c r="B11" t="s">
        <v>326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204</v>
      </c>
      <c r="H11" t="s">
        <v>10</v>
      </c>
      <c r="I11" t="s">
        <v>325</v>
      </c>
    </row>
    <row r="12" spans="1:9" x14ac:dyDescent="0.35">
      <c r="A12" s="9" t="b">
        <v>1</v>
      </c>
      <c r="B12" t="s">
        <v>352</v>
      </c>
      <c r="C12" s="3" t="s">
        <v>129</v>
      </c>
      <c r="D12" t="s">
        <v>353</v>
      </c>
      <c r="E12" s="5">
        <v>0.2</v>
      </c>
      <c r="F12" s="3" t="s">
        <v>129</v>
      </c>
      <c r="G12" s="3" t="s">
        <v>205</v>
      </c>
      <c r="H12" t="s">
        <v>116</v>
      </c>
      <c r="I12" t="s">
        <v>354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31"/>
  <sheetViews>
    <sheetView topLeftCell="A17" zoomScale="141" zoomScaleNormal="130" workbookViewId="0">
      <selection activeCell="E22" sqref="E22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203</v>
      </c>
      <c r="B1" s="3" t="s">
        <v>153</v>
      </c>
      <c r="C1" s="12" t="s">
        <v>247</v>
      </c>
      <c r="D1" s="3" t="s">
        <v>157</v>
      </c>
      <c r="E1" s="3" t="s">
        <v>2</v>
      </c>
      <c r="F1" s="3" t="s">
        <v>162</v>
      </c>
      <c r="G1" s="3" t="s">
        <v>214</v>
      </c>
      <c r="H1" s="3" t="s">
        <v>33</v>
      </c>
    </row>
    <row r="2" spans="1:8" x14ac:dyDescent="0.35">
      <c r="A2" s="10" t="b">
        <v>1</v>
      </c>
      <c r="B2" s="3" t="s">
        <v>207</v>
      </c>
      <c r="C2" s="12">
        <v>2</v>
      </c>
      <c r="D2" s="3" t="s">
        <v>159</v>
      </c>
      <c r="E2" s="3" t="s">
        <v>208</v>
      </c>
      <c r="H2" s="3" t="s">
        <v>209</v>
      </c>
    </row>
    <row r="3" spans="1:8" x14ac:dyDescent="0.35">
      <c r="A3" s="10" t="b">
        <v>1</v>
      </c>
      <c r="B3" s="3" t="s">
        <v>244</v>
      </c>
      <c r="C3" s="12">
        <v>9</v>
      </c>
      <c r="D3" s="3" t="s">
        <v>158</v>
      </c>
      <c r="E3" s="3" t="s">
        <v>245</v>
      </c>
      <c r="G3" s="3" t="s">
        <v>248</v>
      </c>
      <c r="H3" s="3" t="s">
        <v>246</v>
      </c>
    </row>
    <row r="4" spans="1:8" x14ac:dyDescent="0.35">
      <c r="A4" s="10" t="b">
        <v>1</v>
      </c>
      <c r="B4" s="3" t="s">
        <v>210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210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210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210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210</v>
      </c>
      <c r="C8" s="12">
        <v>5</v>
      </c>
      <c r="D8" s="3" t="s">
        <v>337</v>
      </c>
    </row>
    <row r="9" spans="1:8" x14ac:dyDescent="0.35">
      <c r="A9" s="10" t="b">
        <v>1</v>
      </c>
      <c r="B9" s="3" t="s">
        <v>210</v>
      </c>
      <c r="C9" s="12">
        <v>6</v>
      </c>
      <c r="D9" s="3" t="s">
        <v>337</v>
      </c>
    </row>
    <row r="10" spans="1:8" x14ac:dyDescent="0.35">
      <c r="A10" s="10" t="b">
        <v>1</v>
      </c>
      <c r="B10" s="3" t="s">
        <v>210</v>
      </c>
      <c r="C10" s="12">
        <v>8</v>
      </c>
      <c r="D10" s="3" t="s">
        <v>337</v>
      </c>
    </row>
    <row r="11" spans="1:8" x14ac:dyDescent="0.35">
      <c r="A11" s="10" t="b">
        <v>1</v>
      </c>
      <c r="B11" s="3" t="s">
        <v>210</v>
      </c>
      <c r="C11" s="12">
        <v>24</v>
      </c>
      <c r="D11" s="3" t="s">
        <v>337</v>
      </c>
    </row>
    <row r="12" spans="1:8" x14ac:dyDescent="0.35">
      <c r="A12" s="10" t="b">
        <v>1</v>
      </c>
      <c r="B12" s="3" t="s">
        <v>210</v>
      </c>
      <c r="C12" s="12">
        <v>26</v>
      </c>
      <c r="D12" s="3" t="s">
        <v>337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338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338</v>
      </c>
      <c r="E14" s="3" t="s">
        <v>40</v>
      </c>
      <c r="F14" s="3" t="s">
        <v>181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338</v>
      </c>
      <c r="E15" s="3" t="s">
        <v>213</v>
      </c>
      <c r="F15" s="3" t="s">
        <v>212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338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211</v>
      </c>
      <c r="C17" s="12">
        <v>10</v>
      </c>
      <c r="D17" s="3" t="s">
        <v>338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211</v>
      </c>
      <c r="C18" s="12">
        <v>16</v>
      </c>
      <c r="D18" s="3" t="s">
        <v>338</v>
      </c>
      <c r="E18" s="3" t="s">
        <v>171</v>
      </c>
      <c r="F18" s="3" t="s">
        <v>171</v>
      </c>
      <c r="H18" s="3" t="s">
        <v>172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338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338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338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338</v>
      </c>
      <c r="E22" s="3" t="s">
        <v>357</v>
      </c>
      <c r="H22" s="3" t="s">
        <v>358</v>
      </c>
    </row>
    <row r="23" spans="1:8" x14ac:dyDescent="0.35">
      <c r="A23" s="10" t="b">
        <v>1</v>
      </c>
      <c r="B23" s="3" t="s">
        <v>154</v>
      </c>
      <c r="C23" s="12">
        <v>5</v>
      </c>
      <c r="D23" s="3" t="s">
        <v>338</v>
      </c>
      <c r="E23" s="3" t="s">
        <v>355</v>
      </c>
      <c r="H23" s="3" t="s">
        <v>356</v>
      </c>
    </row>
    <row r="24" spans="1:8" x14ac:dyDescent="0.35">
      <c r="A24" s="10" t="b">
        <v>1</v>
      </c>
      <c r="B24" s="3" t="s">
        <v>154</v>
      </c>
      <c r="C24" s="12">
        <v>6</v>
      </c>
      <c r="D24" s="3" t="s">
        <v>338</v>
      </c>
      <c r="E24" s="3" t="s">
        <v>359</v>
      </c>
      <c r="H24" s="3" t="s">
        <v>360</v>
      </c>
    </row>
    <row r="25" spans="1:8" x14ac:dyDescent="0.35">
      <c r="A25" s="10" t="b">
        <v>1</v>
      </c>
      <c r="B25" s="3" t="s">
        <v>154</v>
      </c>
      <c r="C25" s="12">
        <v>10</v>
      </c>
      <c r="D25" s="3" t="s">
        <v>338</v>
      </c>
      <c r="E25" s="3" t="s">
        <v>361</v>
      </c>
      <c r="H25" s="3" t="s">
        <v>362</v>
      </c>
    </row>
    <row r="26" spans="1:8" x14ac:dyDescent="0.35">
      <c r="A26" s="10" t="b">
        <v>1</v>
      </c>
      <c r="B26" s="3" t="s">
        <v>272</v>
      </c>
      <c r="C26" s="12">
        <v>4</v>
      </c>
      <c r="D26" s="3" t="s">
        <v>338</v>
      </c>
      <c r="E26" s="3" t="s">
        <v>273</v>
      </c>
      <c r="G26" s="3" t="s">
        <v>340</v>
      </c>
      <c r="H26" s="3" t="s">
        <v>274</v>
      </c>
    </row>
    <row r="27" spans="1:8" x14ac:dyDescent="0.35">
      <c r="A27" s="10" t="b">
        <v>1</v>
      </c>
      <c r="B27" s="3" t="s">
        <v>155</v>
      </c>
      <c r="C27" s="12"/>
      <c r="D27" s="3" t="s">
        <v>338</v>
      </c>
      <c r="E27" s="3" t="s">
        <v>96</v>
      </c>
      <c r="G27" s="3" t="s">
        <v>249</v>
      </c>
      <c r="H27" s="3" t="s">
        <v>97</v>
      </c>
    </row>
    <row r="28" spans="1:8" x14ac:dyDescent="0.35">
      <c r="A28" s="10" t="b">
        <v>1</v>
      </c>
      <c r="B28" s="3" t="s">
        <v>336</v>
      </c>
      <c r="C28" s="12">
        <v>4</v>
      </c>
      <c r="D28" s="3" t="s">
        <v>338</v>
      </c>
      <c r="E28" s="3" t="s">
        <v>339</v>
      </c>
      <c r="G28" s="3" t="s">
        <v>340</v>
      </c>
      <c r="H28" s="3" t="s">
        <v>341</v>
      </c>
    </row>
    <row r="29" spans="1:8" x14ac:dyDescent="0.35">
      <c r="A29" s="10" t="b">
        <v>1</v>
      </c>
      <c r="B29" s="3" t="s">
        <v>342</v>
      </c>
      <c r="C29" s="12">
        <v>8</v>
      </c>
      <c r="D29" s="3" t="s">
        <v>338</v>
      </c>
      <c r="E29" s="3" t="s">
        <v>343</v>
      </c>
      <c r="G29" s="3" t="s">
        <v>340</v>
      </c>
      <c r="H29" s="3" t="s">
        <v>344</v>
      </c>
    </row>
    <row r="30" spans="1:8" x14ac:dyDescent="0.35">
      <c r="A30" s="10" t="b">
        <v>0</v>
      </c>
      <c r="C30" s="12"/>
    </row>
    <row r="31" spans="1:8" x14ac:dyDescent="0.35">
      <c r="A31" s="10" t="b">
        <v>0</v>
      </c>
      <c r="C31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203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C4" sqref="C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203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175</v>
      </c>
      <c r="C3" t="s">
        <v>176</v>
      </c>
      <c r="D3" t="s">
        <v>177</v>
      </c>
      <c r="E3" t="s">
        <v>178</v>
      </c>
      <c r="F3" t="s">
        <v>179</v>
      </c>
      <c r="G3" t="s">
        <v>180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7"/>
  <sheetViews>
    <sheetView topLeftCell="F1" zoomScale="163" workbookViewId="0">
      <selection activeCell="A5" sqref="A5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203</v>
      </c>
      <c r="B1" s="6" t="s">
        <v>250</v>
      </c>
      <c r="C1" s="6" t="s">
        <v>253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251</v>
      </c>
      <c r="C2" t="s">
        <v>252</v>
      </c>
      <c r="D2" t="s">
        <v>254</v>
      </c>
      <c r="F2" t="s">
        <v>255</v>
      </c>
    </row>
    <row r="3" spans="1:6" x14ac:dyDescent="0.35">
      <c r="A3" s="9" t="b">
        <v>1</v>
      </c>
      <c r="B3" t="s">
        <v>251</v>
      </c>
      <c r="C3" t="s">
        <v>257</v>
      </c>
      <c r="D3" t="s">
        <v>256</v>
      </c>
      <c r="E3" t="s">
        <v>258</v>
      </c>
      <c r="F3" t="s">
        <v>259</v>
      </c>
    </row>
    <row r="4" spans="1:6" x14ac:dyDescent="0.35">
      <c r="A4" s="9" t="b">
        <v>1</v>
      </c>
      <c r="B4" t="s">
        <v>251</v>
      </c>
      <c r="C4" t="s">
        <v>260</v>
      </c>
      <c r="D4" t="s">
        <v>254</v>
      </c>
      <c r="F4" t="s">
        <v>261</v>
      </c>
    </row>
    <row r="5" spans="1:6" x14ac:dyDescent="0.35">
      <c r="A5" s="9" t="b">
        <v>1</v>
      </c>
      <c r="B5" t="s">
        <v>262</v>
      </c>
      <c r="C5" t="s">
        <v>263</v>
      </c>
      <c r="D5" t="s">
        <v>262</v>
      </c>
      <c r="F5" t="s">
        <v>264</v>
      </c>
    </row>
    <row r="6" spans="1:6" x14ac:dyDescent="0.35">
      <c r="A6" s="9" t="b">
        <v>0</v>
      </c>
    </row>
    <row r="7" spans="1:6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203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197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203</v>
      </c>
      <c r="B1" s="7" t="s">
        <v>87</v>
      </c>
      <c r="C1" s="7" t="s">
        <v>284</v>
      </c>
      <c r="D1" s="7" t="s">
        <v>32</v>
      </c>
      <c r="E1" s="7" t="s">
        <v>3</v>
      </c>
      <c r="F1" s="7" t="s">
        <v>1</v>
      </c>
      <c r="G1" s="7" t="s">
        <v>287</v>
      </c>
      <c r="H1" s="7" t="s">
        <v>290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208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285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286</v>
      </c>
      <c r="E4" t="s">
        <v>129</v>
      </c>
      <c r="F4" t="s">
        <v>288</v>
      </c>
      <c r="G4" t="s">
        <v>289</v>
      </c>
      <c r="H4">
        <v>3568</v>
      </c>
      <c r="I4" t="s">
        <v>291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topLeftCell="E1" workbookViewId="0">
      <selection activeCell="A8" sqref="A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203</v>
      </c>
      <c r="B1" t="s">
        <v>82</v>
      </c>
      <c r="C1" t="s">
        <v>214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215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217</v>
      </c>
      <c r="C3" s="4" t="s">
        <v>216</v>
      </c>
      <c r="D3" t="s">
        <v>94</v>
      </c>
      <c r="E3" t="s">
        <v>95</v>
      </c>
    </row>
    <row r="4" spans="1:5" x14ac:dyDescent="0.35">
      <c r="A4" s="9" t="b">
        <v>1</v>
      </c>
      <c r="B4" t="s">
        <v>218</v>
      </c>
      <c r="D4" t="s">
        <v>173</v>
      </c>
      <c r="E4" t="s">
        <v>174</v>
      </c>
    </row>
    <row r="5" spans="1:5" x14ac:dyDescent="0.35">
      <c r="A5" s="9" t="b">
        <v>1</v>
      </c>
      <c r="B5" t="s">
        <v>314</v>
      </c>
      <c r="D5" t="s">
        <v>313</v>
      </c>
      <c r="E5" t="s">
        <v>315</v>
      </c>
    </row>
    <row r="6" spans="1:5" x14ac:dyDescent="0.35">
      <c r="A6" s="9" t="b">
        <v>1</v>
      </c>
      <c r="B6" t="s">
        <v>321</v>
      </c>
      <c r="C6" t="s">
        <v>322</v>
      </c>
      <c r="D6" t="s">
        <v>323</v>
      </c>
      <c r="E6" t="s">
        <v>324</v>
      </c>
    </row>
    <row r="7" spans="1:5" x14ac:dyDescent="0.35">
      <c r="A7" s="9" t="b">
        <v>1</v>
      </c>
      <c r="B7" t="s">
        <v>329</v>
      </c>
      <c r="C7" t="s">
        <v>330</v>
      </c>
      <c r="D7" t="s">
        <v>331</v>
      </c>
      <c r="E7" t="s">
        <v>332</v>
      </c>
    </row>
    <row r="8" spans="1:5" x14ac:dyDescent="0.35">
      <c r="A8" s="9" t="b">
        <v>1</v>
      </c>
      <c r="B8" t="s">
        <v>345</v>
      </c>
      <c r="C8" t="s">
        <v>346</v>
      </c>
      <c r="D8" t="s">
        <v>347</v>
      </c>
      <c r="E8" t="s">
        <v>348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203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220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219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309</v>
      </c>
      <c r="C4" s="3" t="s">
        <v>310</v>
      </c>
      <c r="D4" s="3" t="s">
        <v>311</v>
      </c>
      <c r="E4" s="3" t="s">
        <v>312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tabSelected="1" workbookViewId="0">
      <selection activeCell="A7" sqref="A7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203</v>
      </c>
      <c r="B1" t="s">
        <v>87</v>
      </c>
      <c r="C1" t="s">
        <v>20</v>
      </c>
      <c r="D1" t="s">
        <v>198</v>
      </c>
      <c r="E1" s="3" t="s">
        <v>3</v>
      </c>
      <c r="F1" t="s">
        <v>22</v>
      </c>
      <c r="G1" t="s">
        <v>2</v>
      </c>
      <c r="H1" t="s">
        <v>33</v>
      </c>
    </row>
    <row r="2" spans="1:8" x14ac:dyDescent="0.35">
      <c r="A2" s="9" t="b">
        <v>1</v>
      </c>
      <c r="B2" t="s">
        <v>368</v>
      </c>
      <c r="C2" t="s">
        <v>21</v>
      </c>
      <c r="D2" t="s">
        <v>107</v>
      </c>
      <c r="E2" s="3" t="s">
        <v>25</v>
      </c>
      <c r="F2" t="s">
        <v>23</v>
      </c>
      <c r="G2" t="s">
        <v>24</v>
      </c>
    </row>
    <row r="3" spans="1:8" x14ac:dyDescent="0.35">
      <c r="A3" s="9" t="b">
        <v>1</v>
      </c>
      <c r="B3" t="s">
        <v>368</v>
      </c>
      <c r="C3" t="s">
        <v>26</v>
      </c>
      <c r="D3" t="s">
        <v>107</v>
      </c>
      <c r="E3" s="3" t="s">
        <v>25</v>
      </c>
      <c r="F3" t="s">
        <v>23</v>
      </c>
      <c r="G3" t="s">
        <v>27</v>
      </c>
    </row>
    <row r="4" spans="1:8" x14ac:dyDescent="0.35">
      <c r="A4" s="9" t="b">
        <v>1</v>
      </c>
      <c r="B4" t="s">
        <v>368</v>
      </c>
      <c r="C4" t="s">
        <v>28</v>
      </c>
      <c r="D4" t="s">
        <v>107</v>
      </c>
      <c r="E4" s="3" t="s">
        <v>25</v>
      </c>
      <c r="F4" t="s">
        <v>23</v>
      </c>
      <c r="G4" t="s">
        <v>29</v>
      </c>
    </row>
    <row r="5" spans="1:8" x14ac:dyDescent="0.35">
      <c r="A5" s="9" t="b">
        <v>1</v>
      </c>
      <c r="B5" t="s">
        <v>368</v>
      </c>
      <c r="C5" t="s">
        <v>31</v>
      </c>
      <c r="D5" t="s">
        <v>107</v>
      </c>
      <c r="E5" s="3" t="s">
        <v>25</v>
      </c>
      <c r="F5" t="s">
        <v>23</v>
      </c>
      <c r="G5" t="s">
        <v>30</v>
      </c>
    </row>
    <row r="6" spans="1:8" x14ac:dyDescent="0.35">
      <c r="A6" s="9" t="b">
        <v>1</v>
      </c>
      <c r="B6" t="s">
        <v>368</v>
      </c>
      <c r="C6" t="s">
        <v>21</v>
      </c>
      <c r="D6" t="s">
        <v>129</v>
      </c>
      <c r="E6" s="3" t="s">
        <v>363</v>
      </c>
      <c r="F6" t="s">
        <v>23</v>
      </c>
      <c r="G6" t="s">
        <v>364</v>
      </c>
    </row>
    <row r="7" spans="1:8" x14ac:dyDescent="0.35">
      <c r="A7" s="9" t="b">
        <v>1</v>
      </c>
      <c r="B7" t="s">
        <v>367</v>
      </c>
      <c r="C7" t="s">
        <v>371</v>
      </c>
      <c r="D7" t="s">
        <v>107</v>
      </c>
      <c r="E7" s="3" t="s">
        <v>369</v>
      </c>
      <c r="F7" t="s">
        <v>370</v>
      </c>
      <c r="G7">
        <v>16347</v>
      </c>
      <c r="H7" t="s">
        <v>372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A2" sqref="A2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203</v>
      </c>
      <c r="B1" s="20" t="s">
        <v>277</v>
      </c>
      <c r="C1" s="20" t="s">
        <v>276</v>
      </c>
      <c r="D1" s="20" t="s">
        <v>278</v>
      </c>
      <c r="E1" s="20" t="s">
        <v>275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280</v>
      </c>
      <c r="C2" t="s">
        <v>281</v>
      </c>
      <c r="D2" t="s">
        <v>223</v>
      </c>
      <c r="E2" t="s">
        <v>279</v>
      </c>
      <c r="F2" t="s">
        <v>282</v>
      </c>
      <c r="G2" t="s">
        <v>283</v>
      </c>
    </row>
    <row r="3" spans="1:7" x14ac:dyDescent="0.35">
      <c r="A3" s="9" t="b">
        <v>0</v>
      </c>
      <c r="B3" s="4"/>
      <c r="C3" s="4"/>
      <c r="D3" s="4"/>
      <c r="E3" s="4"/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C9" sqref="C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203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239</v>
      </c>
      <c r="C2" t="s">
        <v>240</v>
      </c>
      <c r="D2" t="s">
        <v>241</v>
      </c>
    </row>
    <row r="3" spans="1:4" x14ac:dyDescent="0.35">
      <c r="A3" s="9" t="b">
        <v>1</v>
      </c>
      <c r="B3" t="s">
        <v>265</v>
      </c>
      <c r="C3" t="s">
        <v>208</v>
      </c>
      <c r="D3" t="s">
        <v>238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266</v>
      </c>
      <c r="D5" t="s">
        <v>267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203</v>
      </c>
      <c r="B1" s="14" t="s">
        <v>84</v>
      </c>
      <c r="C1" s="14" t="s">
        <v>221</v>
      </c>
      <c r="D1" s="14" t="s">
        <v>224</v>
      </c>
      <c r="E1" s="14" t="s">
        <v>223</v>
      </c>
      <c r="F1" s="14" t="s">
        <v>225</v>
      </c>
      <c r="G1" s="14" t="s">
        <v>226</v>
      </c>
      <c r="H1" s="14" t="s">
        <v>227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222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228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topLeftCell="A4" zoomScale="118" workbookViewId="0">
      <selection activeCell="C9" sqref="C9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203</v>
      </c>
      <c r="B1" s="8" t="s">
        <v>45</v>
      </c>
      <c r="C1" s="8" t="s">
        <v>229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199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>IF(ISNUMBER(B3),
IF(B3=0,"",B3),
VALUE(LEFT(B3,LEN(B3)-1))*
IF(RIGHT(B3,1)="k",1000,
IF(RIGHT(B3,1)="M",1000000,
IF(RIGHT(B3,1)="m",0.001,1))))</f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>IF(ISNUMBER(B4),
IF(B4=0,"",B4),
VALUE(LEFT(B4,LEN(B4)-1))*
IF(RIGHT(B4,1)="k",1000,
IF(RIGHT(B4,1)="M",1000000,
IF(RIGHT(B4,1)="m",0.001,1))))</f>
        <v>100</v>
      </c>
      <c r="D4" s="16" t="s">
        <v>54</v>
      </c>
      <c r="E4" s="16" t="s">
        <v>9</v>
      </c>
      <c r="F4" s="16" t="s">
        <v>199</v>
      </c>
      <c r="G4" s="16" t="s">
        <v>242</v>
      </c>
      <c r="H4" s="16" t="s">
        <v>243</v>
      </c>
    </row>
    <row r="5" spans="1:8" x14ac:dyDescent="0.35">
      <c r="A5" s="18" t="b">
        <v>1</v>
      </c>
      <c r="B5" s="15">
        <v>220</v>
      </c>
      <c r="C5" s="17">
        <f>IF(ISNUMBER(B5),
IF(B5=0,"",B5),
VALUE(LEFT(B5,LEN(B5)-1))*
IF(RIGHT(B5,1)="k",1000,
IF(RIGHT(B5,1)="M",1000000,
IF(RIGHT(B5,1)="m",0.001,1))))</f>
        <v>220</v>
      </c>
      <c r="D5" s="16" t="s">
        <v>54</v>
      </c>
      <c r="E5" s="16" t="s">
        <v>9</v>
      </c>
      <c r="F5" s="16" t="s">
        <v>199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>IF(ISNUMBER(B6),
IF(B6=0,"",B6),
VALUE(LEFT(B6,LEN(B6)-1))*
IF(RIGHT(B6,1)="k",1000,
IF(RIGHT(B6,1)="M",1000000,
IF(RIGHT(B6,1)="m",0.001,1))))</f>
        <v>220</v>
      </c>
      <c r="D6" s="16" t="s">
        <v>54</v>
      </c>
      <c r="E6" s="16" t="s">
        <v>25</v>
      </c>
      <c r="F6" s="16" t="s">
        <v>141</v>
      </c>
      <c r="G6" s="16" t="s">
        <v>170</v>
      </c>
      <c r="H6" s="16" t="s">
        <v>169</v>
      </c>
    </row>
    <row r="7" spans="1:8" x14ac:dyDescent="0.35">
      <c r="A7" s="18" t="b">
        <v>1</v>
      </c>
      <c r="B7" s="15">
        <v>220</v>
      </c>
      <c r="C7" s="17">
        <f>IF(ISNUMBER(B7),
IF(B7=0,"",B7),
VALUE(LEFT(B7,LEN(B7)-1))*
IF(RIGHT(B7,1)="k",1000,
IF(RIGHT(B7,1)="M",1000000,
IF(RIGHT(B7,1)="m",0.001,1))))</f>
        <v>220</v>
      </c>
      <c r="D7" s="16" t="s">
        <v>140</v>
      </c>
      <c r="E7" s="16" t="s">
        <v>129</v>
      </c>
      <c r="F7" s="16" t="s">
        <v>268</v>
      </c>
      <c r="G7" s="16" t="s">
        <v>365</v>
      </c>
      <c r="H7" s="16" t="s">
        <v>366</v>
      </c>
    </row>
    <row r="8" spans="1:8" x14ac:dyDescent="0.35">
      <c r="A8" s="18" t="b">
        <v>1</v>
      </c>
      <c r="B8" s="15" t="s">
        <v>61</v>
      </c>
      <c r="C8" s="17">
        <f>IF(ISNUMBER(B8),
IF(B8=0,"",B8),
VALUE(LEFT(B8,LEN(B8)-1))*
IF(RIGHT(B8,1)="k",1000,
IF(RIGHT(B8,1)="M",1000000,
IF(RIGHT(B8,1)="m",0.001,1))))</f>
        <v>1000</v>
      </c>
      <c r="D8" s="16" t="s">
        <v>54</v>
      </c>
      <c r="E8" s="16" t="s">
        <v>9</v>
      </c>
      <c r="F8" s="16" t="s">
        <v>199</v>
      </c>
      <c r="G8" s="16" t="s">
        <v>59</v>
      </c>
      <c r="H8" s="16" t="s">
        <v>60</v>
      </c>
    </row>
    <row r="9" spans="1:8" x14ac:dyDescent="0.35">
      <c r="A9" s="18" t="b">
        <v>1</v>
      </c>
      <c r="B9" s="15" t="s">
        <v>61</v>
      </c>
      <c r="C9" s="17">
        <f>IF(ISNUMBER(B9),
IF(B9=0,"",B9),
VALUE(LEFT(B9,LEN(B9)-1))*
IF(RIGHT(B9,1)="k",1000,
IF(RIGHT(B9,1)="M",1000000,
IF(RIGHT(B9,1)="m",0.001,1))))</f>
        <v>1000</v>
      </c>
      <c r="D9" s="16" t="s">
        <v>66</v>
      </c>
      <c r="E9" s="16" t="s">
        <v>25</v>
      </c>
      <c r="F9" s="16" t="s">
        <v>199</v>
      </c>
      <c r="G9" s="16" t="s">
        <v>134</v>
      </c>
      <c r="H9" s="16" t="s">
        <v>135</v>
      </c>
    </row>
    <row r="10" spans="1:8" x14ac:dyDescent="0.35">
      <c r="A10" s="18" t="b">
        <v>1</v>
      </c>
      <c r="B10" s="15" t="s">
        <v>70</v>
      </c>
      <c r="C10" s="17">
        <f>IF(ISNUMBER(B10),
IF(B10=0,"",B10),
VALUE(LEFT(B10,LEN(B10)-1))*
IF(RIGHT(B10,1)="k",1000,
IF(RIGHT(B10,1)="M",1000000,
IF(RIGHT(B10,1)="m",0.001,1))))</f>
        <v>2000</v>
      </c>
      <c r="D10" s="16" t="s">
        <v>71</v>
      </c>
      <c r="E10" s="16" t="s">
        <v>9</v>
      </c>
      <c r="F10" s="16" t="s">
        <v>199</v>
      </c>
      <c r="G10" s="16" t="s">
        <v>68</v>
      </c>
      <c r="H10" s="16" t="s">
        <v>69</v>
      </c>
    </row>
    <row r="11" spans="1:8" x14ac:dyDescent="0.35">
      <c r="A11" s="18" t="b">
        <v>1</v>
      </c>
      <c r="B11" s="15" t="s">
        <v>53</v>
      </c>
      <c r="C11" s="17">
        <f>IF(ISNUMBER(B11),
IF(B11=0,"",B11),
VALUE(LEFT(B11,LEN(B11)-1))*
IF(RIGHT(B11,1)="k",1000,
IF(RIGHT(B11,1)="M",1000000,
IF(RIGHT(B11,1)="m",0.001,1))))</f>
        <v>5100</v>
      </c>
      <c r="D11" s="16" t="s">
        <v>54</v>
      </c>
      <c r="E11" s="16" t="s">
        <v>9</v>
      </c>
      <c r="F11" s="16" t="s">
        <v>199</v>
      </c>
      <c r="G11" s="16" t="s">
        <v>55</v>
      </c>
      <c r="H11" s="16" t="s">
        <v>56</v>
      </c>
    </row>
    <row r="12" spans="1:8" x14ac:dyDescent="0.35">
      <c r="A12" s="18" t="b">
        <v>1</v>
      </c>
      <c r="B12" s="15" t="s">
        <v>139</v>
      </c>
      <c r="C12" s="17">
        <f>IF(ISNUMBER(B12),
IF(B12=0,"",B12),
VALUE(LEFT(B12,LEN(B12)-1))*
IF(RIGHT(B12,1)="k",1000,
IF(RIGHT(B12,1)="M",1000000,
IF(RIGHT(B12,1)="m",0.001,1))))</f>
        <v>10000</v>
      </c>
      <c r="D12" s="16" t="s">
        <v>140</v>
      </c>
      <c r="E12" s="16" t="s">
        <v>25</v>
      </c>
      <c r="F12" s="16" t="s">
        <v>141</v>
      </c>
      <c r="G12" s="16" t="s">
        <v>142</v>
      </c>
      <c r="H12" s="16" t="s">
        <v>143</v>
      </c>
    </row>
    <row r="13" spans="1:8" x14ac:dyDescent="0.35">
      <c r="A13" s="18" t="b">
        <v>1</v>
      </c>
      <c r="B13" s="15" t="s">
        <v>139</v>
      </c>
      <c r="C13" s="17">
        <f>IF(ISNUMBER(B13),
IF(B13=0,"",B13),
VALUE(LEFT(B13,LEN(B13)-1))*
IF(RIGHT(B13,1)="k",1000,
IF(RIGHT(B13,1)="M",1000000,
IF(RIGHT(B13,1)="m",0.001,1))))</f>
        <v>10000</v>
      </c>
      <c r="D13" s="16" t="s">
        <v>54</v>
      </c>
      <c r="E13" s="16" t="s">
        <v>9</v>
      </c>
      <c r="F13" s="16" t="s">
        <v>199</v>
      </c>
      <c r="G13" s="16" t="s">
        <v>168</v>
      </c>
      <c r="H13" s="16" t="s">
        <v>167</v>
      </c>
    </row>
    <row r="14" spans="1:8" x14ac:dyDescent="0.35">
      <c r="A14" s="18" t="b">
        <v>1</v>
      </c>
      <c r="B14" s="15" t="s">
        <v>333</v>
      </c>
      <c r="C14" s="17">
        <f>IF(ISNUMBER(B14),
IF(B14=0,"",B14),
VALUE(LEFT(B14,LEN(B14)-1))*
IF(RIGHT(B14,1)="k",1000,
IF(RIGHT(B14,1)="M",1000000,
IF(RIGHT(B14,1)="m",0.001,1))))</f>
        <v>47000</v>
      </c>
      <c r="D14" s="16" t="s">
        <v>54</v>
      </c>
      <c r="E14" s="16" t="s">
        <v>9</v>
      </c>
      <c r="F14" s="16" t="s">
        <v>199</v>
      </c>
      <c r="G14" s="16" t="s">
        <v>334</v>
      </c>
      <c r="H14" s="16" t="s">
        <v>335</v>
      </c>
    </row>
    <row r="15" spans="1:8" x14ac:dyDescent="0.35">
      <c r="A15" s="18" t="b">
        <v>1</v>
      </c>
      <c r="B15" s="15" t="s">
        <v>144</v>
      </c>
      <c r="C15" s="17">
        <f>IF(ISNUMBER(B15),
IF(B15=0,"",B15),
VALUE(LEFT(B15,LEN(B15)-1))*
IF(RIGHT(B15,1)="k",1000,
IF(RIGHT(B15,1)="M",1000000,
IF(RIGHT(B15,1)="m",0.001,1))))</f>
        <v>52300</v>
      </c>
      <c r="D15" s="16" t="s">
        <v>54</v>
      </c>
      <c r="E15" s="16" t="s">
        <v>25</v>
      </c>
      <c r="F15" s="16" t="s">
        <v>141</v>
      </c>
      <c r="G15" s="16" t="s">
        <v>145</v>
      </c>
      <c r="H15" s="16" t="s">
        <v>146</v>
      </c>
    </row>
    <row r="16" spans="1:8" x14ac:dyDescent="0.35">
      <c r="A16" s="18" t="b">
        <v>1</v>
      </c>
      <c r="B16" s="15" t="s">
        <v>271</v>
      </c>
      <c r="C16" s="17">
        <f>IF(ISNUMBER(B16),
IF(B16=0,"",B16),
VALUE(LEFT(B16,LEN(B16)-1))*
IF(RIGHT(B16,1)="k",1000,
IF(RIGHT(B16,1)="M",1000000,
IF(RIGHT(B16,1)="m",0.001,1))))</f>
        <v>100000</v>
      </c>
      <c r="D16" s="16" t="s">
        <v>54</v>
      </c>
      <c r="E16" s="16" t="s">
        <v>129</v>
      </c>
      <c r="F16" s="16" t="s">
        <v>268</v>
      </c>
      <c r="G16" s="16" t="s">
        <v>269</v>
      </c>
      <c r="H16" s="16" t="s">
        <v>270</v>
      </c>
    </row>
    <row r="17" spans="1:8" x14ac:dyDescent="0.35">
      <c r="A17" s="18" t="b">
        <v>1</v>
      </c>
      <c r="B17" s="15" t="s">
        <v>295</v>
      </c>
      <c r="C17" s="17">
        <f>IF(ISNUMBER(B17),
IF(B17=0,"",B17),
VALUE(LEFT(B17,LEN(B17)-1))*
IF(RIGHT(B17,1)="k",1000,
IF(RIGHT(B17,1)="M",1000000,
IF(RIGHT(B17,1)="m",0.001,1))))</f>
        <v>680000</v>
      </c>
      <c r="D17" s="16" t="s">
        <v>140</v>
      </c>
      <c r="E17" s="16" t="s">
        <v>129</v>
      </c>
      <c r="F17" s="16" t="s">
        <v>293</v>
      </c>
      <c r="G17" s="16" t="s">
        <v>296</v>
      </c>
      <c r="H17" s="16" t="s">
        <v>298</v>
      </c>
    </row>
    <row r="18" spans="1:8" x14ac:dyDescent="0.35">
      <c r="A18" s="18" t="b">
        <v>1</v>
      </c>
      <c r="B18" s="15" t="s">
        <v>292</v>
      </c>
      <c r="C18" s="17">
        <f>IF(ISNUMBER(B18),
IF(B18=0,"",B18),
VALUE(LEFT(B18,LEN(B18)-1))*
IF(RIGHT(B18,1)="k",1000,
IF(RIGHT(B18,1)="M",1000000,
IF(RIGHT(B18,1)="m",0.001,1))))</f>
        <v>1000000</v>
      </c>
      <c r="D18" s="16" t="s">
        <v>140</v>
      </c>
      <c r="E18" s="16" t="s">
        <v>129</v>
      </c>
      <c r="F18" s="16" t="s">
        <v>293</v>
      </c>
      <c r="G18" s="16" t="s">
        <v>294</v>
      </c>
      <c r="H18" s="16" t="s">
        <v>297</v>
      </c>
    </row>
    <row r="19" spans="1:8" x14ac:dyDescent="0.35">
      <c r="A19" s="18" t="b">
        <v>1</v>
      </c>
      <c r="B19" s="15" t="s">
        <v>292</v>
      </c>
      <c r="C19" s="17">
        <f>IF(ISNUMBER(B19),
IF(B19=0,"",B19),
VALUE(LEFT(B19,LEN(B19)-1))*
IF(RIGHT(B19,1)="k",1000,
IF(RIGHT(B19,1)="M",1000000,
IF(RIGHT(B19,1)="m",0.001,1))))</f>
        <v>1000000</v>
      </c>
      <c r="D19" s="16" t="s">
        <v>54</v>
      </c>
      <c r="E19" s="16" t="s">
        <v>9</v>
      </c>
      <c r="F19" s="16" t="s">
        <v>199</v>
      </c>
      <c r="G19" s="16" t="s">
        <v>327</v>
      </c>
      <c r="H19" s="16" t="s">
        <v>328</v>
      </c>
    </row>
    <row r="20" spans="1:8" x14ac:dyDescent="0.35">
      <c r="A20" s="18" t="b">
        <v>0</v>
      </c>
      <c r="B20" s="15">
        <v>0</v>
      </c>
      <c r="C20" s="17" t="str">
        <f>IF(ISNUMBER(B20),
IF(B20=0,"",B20),
VALUE(LEFT(B20,LEN(B20)-1))*
IF(RIGHT(B20,1)="k",1000,
IF(RIGHT(B20,1)="M",1000000,
IF(RIGHT(B20,1)="m",0.001,1))))</f>
        <v/>
      </c>
      <c r="D20" s="16"/>
      <c r="E20" s="16"/>
      <c r="F20" s="16"/>
      <c r="G20" s="16"/>
      <c r="H20" s="16"/>
    </row>
    <row r="21" spans="1:8" x14ac:dyDescent="0.35">
      <c r="A21" s="18" t="b">
        <v>0</v>
      </c>
      <c r="B21" s="15">
        <v>0</v>
      </c>
      <c r="C21" s="17" t="str">
        <f>IF(ISNUMBER(B21),
IF(B21=0,"",B21),
VALUE(LEFT(B21,LEN(B21)-1))*
IF(RIGHT(B21,1)="k",1000,
IF(RIGHT(B21,1)="M",1000000,
IF(RIGHT(B21,1)="m",0.001,1))))</f>
        <v/>
      </c>
      <c r="D21" s="16"/>
      <c r="E21" s="16"/>
      <c r="F21" s="16"/>
      <c r="G21" s="16"/>
      <c r="H21" s="16"/>
    </row>
    <row r="22" spans="1:8" x14ac:dyDescent="0.35">
      <c r="A22" s="18" t="b">
        <v>0</v>
      </c>
      <c r="B22" s="15">
        <v>0</v>
      </c>
      <c r="C22" s="17" t="str">
        <f>IF(ISNUMBER(B22),
IF(B22=0,"",B22),
VALUE(LEFT(B22,LEN(B22)-1))*
IF(RIGHT(B22,1)="k",1000,
IF(RIGHT(B22,1)="M",1000000,
IF(RIGHT(B22,1)="m",0.001,1))))</f>
        <v/>
      </c>
      <c r="D22" s="16"/>
      <c r="E22" s="16"/>
      <c r="F22" s="16"/>
      <c r="G22" s="16"/>
      <c r="H22" s="1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203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200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316</v>
      </c>
      <c r="C3" t="s">
        <v>317</v>
      </c>
      <c r="D3" t="s">
        <v>318</v>
      </c>
      <c r="E3" t="s">
        <v>319</v>
      </c>
      <c r="F3" t="s">
        <v>79</v>
      </c>
      <c r="G3" t="s">
        <v>320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203</v>
      </c>
      <c r="B1" s="22" t="s">
        <v>196</v>
      </c>
      <c r="C1" s="22" t="s">
        <v>349</v>
      </c>
      <c r="D1" s="22" t="s">
        <v>250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208</v>
      </c>
      <c r="E2" t="s">
        <v>208</v>
      </c>
      <c r="F2" t="s">
        <v>208</v>
      </c>
    </row>
    <row r="3" spans="1:6" x14ac:dyDescent="0.35">
      <c r="A3" s="9" t="b">
        <v>1</v>
      </c>
      <c r="B3" t="s">
        <v>129</v>
      </c>
      <c r="C3">
        <v>1</v>
      </c>
      <c r="D3" t="s">
        <v>350</v>
      </c>
      <c r="E3">
        <v>5012</v>
      </c>
      <c r="F3" t="s">
        <v>351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203</v>
      </c>
      <c r="B1" s="21" t="s">
        <v>301</v>
      </c>
      <c r="C1" s="21" t="s">
        <v>302</v>
      </c>
      <c r="D1" s="21" t="s">
        <v>1</v>
      </c>
      <c r="E1" s="21" t="s">
        <v>287</v>
      </c>
      <c r="F1" s="21" t="s">
        <v>304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303</v>
      </c>
      <c r="C2" t="s">
        <v>305</v>
      </c>
      <c r="D2">
        <v>40</v>
      </c>
      <c r="E2" t="s">
        <v>306</v>
      </c>
      <c r="F2" t="s">
        <v>129</v>
      </c>
      <c r="G2" t="s">
        <v>307</v>
      </c>
      <c r="H2" t="s">
        <v>308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203</v>
      </c>
      <c r="B1" t="s">
        <v>87</v>
      </c>
      <c r="C1" t="s">
        <v>230</v>
      </c>
      <c r="D1" t="s">
        <v>232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236</v>
      </c>
      <c r="D2" t="s">
        <v>233</v>
      </c>
      <c r="E2" t="s">
        <v>90</v>
      </c>
      <c r="F2" t="s">
        <v>93</v>
      </c>
      <c r="G2" t="s">
        <v>91</v>
      </c>
      <c r="H2" t="s">
        <v>234</v>
      </c>
    </row>
    <row r="3" spans="1:8" x14ac:dyDescent="0.35">
      <c r="A3" s="9" t="b">
        <v>1</v>
      </c>
      <c r="B3" t="s">
        <v>147</v>
      </c>
      <c r="C3" t="s">
        <v>231</v>
      </c>
      <c r="D3" t="s">
        <v>235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2026-03-13T20:30:16Z</dcterms:modified>
</cp:coreProperties>
</file>