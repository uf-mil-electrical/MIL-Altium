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L-Altium\"/>
    </mc:Choice>
  </mc:AlternateContent>
  <xr:revisionPtr revIDLastSave="0" documentId="13_ncr:1_{03AC511D-29E4-4A88-802F-A62F90A02D1A}" xr6:coauthVersionLast="47" xr6:coauthVersionMax="47" xr10:uidLastSave="{00000000-0000-0000-0000-000000000000}"/>
  <bookViews>
    <workbookView xWindow="-110" yWindow="-110" windowWidth="25820" windowHeight="15500" firstSheet="1" activeTab="1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Devices" sheetId="16" r:id="rId6"/>
    <sheet name="Ferrite Beads" sheetId="10" r:id="rId7"/>
    <sheet name="Fuses" sheetId="8" r:id="rId8"/>
    <sheet name="ICs" sheetId="12" r:id="rId9"/>
    <sheet name="Inductors" sheetId="3" r:id="rId10"/>
    <sheet name="LEDs" sheetId="5" r:id="rId11"/>
    <sheet name="Memory" sheetId="17" r:id="rId12"/>
    <sheet name="Misc Components" sheetId="14" r:id="rId13"/>
    <sheet name="Mounts, Pads, Vias" sheetId="20" r:id="rId14"/>
    <sheet name="MCUs" sheetId="6" r:id="rId15"/>
    <sheet name="Resistors" sheetId="2" r:id="rId16"/>
    <sheet name="Switches" sheetId="11" r:id="rId17"/>
    <sheet name="Test Points" sheetId="19" r:id="rId18"/>
    <sheet name="Transistors" sheetId="18" r:id="rId19"/>
    <sheet name="Voltage Regulators" sheetId="4" r:id="rId20"/>
  </sheets>
  <definedNames>
    <definedName name="_xlnm._FilterDatabase" localSheetId="1" hidden="1">'Capacitors'!$B$1:$I$9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2" l="1"/>
  <c r="C26" i="2"/>
  <c r="C27" i="2"/>
  <c r="C2" i="2"/>
  <c r="C21" i="2"/>
  <c r="C10" i="2"/>
  <c r="C13" i="2"/>
  <c r="C24" i="2"/>
  <c r="C18" i="2"/>
  <c r="C16" i="2"/>
  <c r="C6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25" i="2"/>
  <c r="C29" i="2"/>
  <c r="C28" i="2"/>
  <c r="C30" i="2"/>
  <c r="C22" i="2"/>
  <c r="C9" i="2"/>
  <c r="C15" i="2"/>
  <c r="C3" i="2"/>
  <c r="C4" i="2"/>
  <c r="C5" i="2"/>
  <c r="C7" i="2"/>
  <c r="C8" i="2"/>
  <c r="C11" i="2"/>
  <c r="C12" i="2"/>
  <c r="C14" i="2"/>
  <c r="C17" i="2"/>
  <c r="C19" i="2"/>
  <c r="C20" i="2"/>
  <c r="C23" i="2"/>
</calcChain>
</file>

<file path=xl/sharedStrings.xml><?xml version="1.0" encoding="utf-8"?>
<sst xmlns="http://schemas.openxmlformats.org/spreadsheetml/2006/main" count="1051" uniqueCount="603">
  <si>
    <t>Capacitance</t>
  </si>
  <si>
    <t>Max Voltage</t>
  </si>
  <si>
    <t>Part Number</t>
  </si>
  <si>
    <t>Package</t>
  </si>
  <si>
    <t>Material</t>
  </si>
  <si>
    <t>0.1uF</t>
  </si>
  <si>
    <t>16V</t>
  </si>
  <si>
    <t>Manufacturer Part Number</t>
  </si>
  <si>
    <t>0603</t>
  </si>
  <si>
    <t>Ceramic</t>
  </si>
  <si>
    <t>CL10A106KP8NNNC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</si>
  <si>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</si>
  <si>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</si>
  <si>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</si>
  <si>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</si>
  <si>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</si>
  <si>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</si>
  <si>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</si>
  <si>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</si>
  <si>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</si>
  <si>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</si>
  <si>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</si>
  <si>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</si>
  <si>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</si>
  <si>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</si>
  <si>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</si>
  <si>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</si>
  <si>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</si>
  <si>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</si>
  <si>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</si>
  <si>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</si>
  <si>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</si>
  <si>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</si>
  <si>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</si>
  <si>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</si>
  <si>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</si>
  <si>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</si>
  <si>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</si>
  <si>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</si>
  <si>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</si>
  <si>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</si>
  <si>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</si>
  <si>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</si>
  <si>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</si>
  <si>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</si>
  <si>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</si>
  <si>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</si>
  <si>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</si>
  <si>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</si>
  <si>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</si>
  <si>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</si>
  <si>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</si>
  <si>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</si>
  <si>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</si>
  <si>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</si>
  <si>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</si>
  <si>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</si>
  <si>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</si>
  <si>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</si>
  <si>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</si>
  <si>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</si>
  <si>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RES 220 OHM 1% 1/10W 0603</t>
  </si>
  <si>
    <t>RC0603FR-07220RL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</si>
  <si>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</si>
  <si>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</si>
  <si>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</si>
  <si>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</si>
  <si>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</si>
  <si>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</si>
  <si>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</si>
  <si>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</si>
  <si>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</si>
  <si>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</si>
  <si>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</si>
  <si>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</si>
  <si>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</si>
  <si>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</si>
  <si>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</si>
  <si>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</si>
  <si>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</si>
  <si>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</si>
  <si>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</si>
  <si>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</si>
  <si>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</si>
  <si>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</si>
  <si>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</si>
  <si>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</si>
  <si>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</si>
  <si>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</si>
  <si>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</si>
  <si>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</si>
  <si>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</si>
  <si>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</si>
  <si>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</si>
  <si>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</si>
  <si>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</si>
  <si>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</si>
  <si>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</si>
  <si>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</si>
  <si>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</si>
  <si>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</si>
  <si>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</si>
  <si>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</si>
  <si>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</si>
  <si>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</si>
  <si>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</si>
  <si>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</si>
  <si>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</si>
  <si>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</si>
  <si>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</si>
  <si>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</si>
  <si>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</si>
  <si>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</si>
  <si>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</si>
  <si>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</si>
  <si>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</si>
  <si>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</si>
  <si>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</si>
  <si>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</si>
  <si>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</si>
  <si>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</si>
  <si>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</si>
  <si>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</si>
  <si>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</si>
  <si>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</si>
  <si>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</si>
  <si>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</si>
  <si>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</si>
  <si>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</si>
  <si>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</si>
  <si>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</si>
  <si>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</si>
  <si>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</si>
  <si>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</si>
  <si>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</si>
  <si>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</si>
  <si>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</si>
  <si>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</si>
  <si>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</si>
  <si>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</si>
  <si>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</si>
  <si>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</si>
  <si>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</si>
  <si>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</si>
  <si>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</si>
  <si>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</si>
  <si>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</si>
  <si>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</si>
  <si>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</si>
  <si>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</si>
  <si>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</si>
  <si>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</si>
  <si>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</si>
  <si>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</si>
  <si>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</si>
  <si>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</si>
  <si>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</si>
  <si>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</si>
  <si>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</si>
  <si>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</si>
  <si>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</si>
  <si>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</si>
  <si>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</si>
  <si>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</si>
  <si>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</si>
  <si>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</si>
  <si>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</si>
  <si>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</si>
  <si>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</si>
  <si>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</si>
  <si>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</si>
  <si>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</si>
  <si>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</si>
  <si>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</si>
  <si>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</si>
  <si>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</si>
  <si>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</si>
  <si>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</si>
  <si>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</si>
  <si>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</si>
  <si>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</si>
  <si>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</si>
  <si>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</si>
  <si>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</si>
  <si>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</si>
  <si>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</si>
  <si>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</si>
  <si>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</si>
  <si>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</si>
  <si>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</si>
  <si>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</si>
  <si>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</si>
  <si>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</si>
  <si>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</si>
  <si>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</si>
  <si>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</si>
  <si>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</si>
  <si>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</si>
  <si>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</si>
  <si>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</si>
  <si>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</si>
  <si>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</si>
  <si>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</si>
  <si>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</si>
  <si>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</si>
  <si>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</si>
  <si>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</si>
  <si>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</si>
  <si>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</si>
  <si>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</si>
  <si>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</si>
  <si>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</si>
  <si>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</si>
  <si>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</si>
  <si>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</si>
  <si>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</si>
  <si>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</si>
  <si>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</si>
  <si>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</si>
  <si>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</si>
  <si>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</si>
  <si>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</si>
  <si>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</si>
  <si>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</si>
  <si>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</si>
  <si>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</si>
  <si>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</si>
  <si>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</si>
  <si>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</si>
  <si>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</si>
  <si>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</si>
  <si>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</si>
  <si>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</si>
  <si>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</si>
  <si>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</si>
  <si>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</si>
  <si>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</si>
  <si>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</si>
  <si>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</si>
  <si>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</si>
  <si>
    <t>D-Sub</t>
  </si>
  <si>
    <t>LD09S33E4GV00LF</t>
  </si>
  <si>
    <t>9 Position D-Sub Receptacle, Female Sockets Connector</t>
  </si>
  <si>
    <t># Pins</t>
  </si>
  <si>
    <t>For RS-232</t>
  </si>
  <si>
    <t>USB2.0-3.1</t>
  </si>
  <si>
    <t>Series</t>
  </si>
  <si>
    <t>Raspberry Pi</t>
  </si>
  <si>
    <t>Zero 2W</t>
  </si>
  <si>
    <t>Device</t>
  </si>
  <si>
    <t>Single Board Computer</t>
  </si>
  <si>
    <t>SBC RP Zero 2W</t>
  </si>
  <si>
    <t>Microprocessor</t>
  </si>
  <si>
    <t>Pico 2</t>
  </si>
  <si>
    <t>SC1631</t>
  </si>
  <si>
    <t>Pico 2 without headers</t>
  </si>
  <si>
    <t>Pi 5</t>
  </si>
  <si>
    <t>Pi 5 w/ active cooler</t>
  </si>
  <si>
    <t>LCD</t>
  </si>
  <si>
    <t>16x2 LCD Display</t>
  </si>
  <si>
    <t>16x2 LCD, no driver, only parallel pins</t>
  </si>
  <si>
    <t>M3 Mount Hole</t>
  </si>
  <si>
    <t>3386T-1-103LF</t>
  </si>
  <si>
    <t>10 kOhms 0.5W, 1/2W PC Pins Through Hole Trimmer Potentiometer Cermet 1.0 Turn Top Adjustment</t>
  </si>
  <si>
    <t>1/4W</t>
  </si>
  <si>
    <t>MFR-25FTF52-100K</t>
  </si>
  <si>
    <t>100 kOhms ±1% 0.25W, 1/4W Through Hole Resistor Axial Metal Film</t>
  </si>
  <si>
    <t>100k</t>
  </si>
  <si>
    <t>USB-B</t>
  </si>
  <si>
    <t>USB-B-S-F-B-TH</t>
  </si>
  <si>
    <t>USB-B (USB TYPE-B) USB 2.0 Receptacle Connector 4 Position Through Hole, Right Angle</t>
  </si>
  <si>
    <t>Storage Technology</t>
  </si>
  <si>
    <t>Total Capacity</t>
  </si>
  <si>
    <t>Memory Organization</t>
  </si>
  <si>
    <t>Interface</t>
  </si>
  <si>
    <t>FLASH - NOR</t>
  </si>
  <si>
    <t>16M x 8</t>
  </si>
  <si>
    <t>128Mbit</t>
  </si>
  <si>
    <t>W25Q128JVSIM</t>
  </si>
  <si>
    <t>FLASH - NOR Memory IC 128Mbit SPI - Quad I/O, QPI, DTR 133 MHz 8-SOIC</t>
  </si>
  <si>
    <t>Automotive Fuse Size</t>
  </si>
  <si>
    <t>Standard, Mini</t>
  </si>
  <si>
    <t>Mini</t>
  </si>
  <si>
    <t>Max Current</t>
  </si>
  <si>
    <t>500V</t>
  </si>
  <si>
    <t>30A</t>
  </si>
  <si>
    <t>MFR Part Number</t>
  </si>
  <si>
    <t>Fuse Holder 30 A 500V 1 Circuit Blade Through Hole</t>
  </si>
  <si>
    <t>1M</t>
  </si>
  <si>
    <t>1/2W</t>
  </si>
  <si>
    <t>CFR-50JB-52-1M</t>
  </si>
  <si>
    <t>680k</t>
  </si>
  <si>
    <t>CFR-50JB-52-680K</t>
  </si>
  <si>
    <t>1 MOhms ±5% 0.5W, 1/2W Through Hole Resistor Axial Automotive AEC-Q200 Carbon Film</t>
  </si>
  <si>
    <t>680 kOhms ±5% 0.5W, 1/2W Through Hole Resistor Axial Automotive AEC-Q200 Carbon Film</t>
  </si>
  <si>
    <t>C330C105K5R5TA7301</t>
  </si>
  <si>
    <t>1uF</t>
  </si>
  <si>
    <t>Technology</t>
  </si>
  <si>
    <t>Configuration</t>
  </si>
  <si>
    <t>FET</t>
  </si>
  <si>
    <t>Footprint</t>
  </si>
  <si>
    <t>N-Channel</t>
  </si>
  <si>
    <t>200A</t>
  </si>
  <si>
    <t>CSD18510KCS</t>
  </si>
  <si>
    <t>N-Channel 40 V 200A (Ta) 250W (Ta) Through Hole TO-220-3</t>
  </si>
  <si>
    <t>3.3uH</t>
  </si>
  <si>
    <t>SMD 0806</t>
  </si>
  <si>
    <t>AOTA-B201610S3R3-101-T</t>
  </si>
  <si>
    <t>3.3 µH Shielded Molded Inductor 2.1 A 140mOhm Max 0806 (2016 Metric)</t>
  </si>
  <si>
    <t>LTC1661CN8#PBF</t>
  </si>
  <si>
    <t>DAC</t>
  </si>
  <si>
    <t>10 Bit Digital to Analog Converter 2 8-PDIP</t>
  </si>
  <si>
    <t>Slide Switch (Thru-Hole)</t>
  </si>
  <si>
    <t>SPDT</t>
  </si>
  <si>
    <t>09.03290.01</t>
  </si>
  <si>
    <t>0.5A</t>
  </si>
  <si>
    <t>Slide Switch SPDT Through Hole</t>
  </si>
  <si>
    <t>USB Hub</t>
  </si>
  <si>
    <t>USB 2.0, 4-port</t>
  </si>
  <si>
    <t>TUSB2046BVFR</t>
  </si>
  <si>
    <t>USB Hub Controller USB 2.0 USB Interface 32-LQFP (7x7)</t>
  </si>
  <si>
    <t>CC0603JRNPO9BN240</t>
  </si>
  <si>
    <t>24uF</t>
  </si>
  <si>
    <t>RC0603FR-071ML</t>
  </si>
  <si>
    <t>1 MOhms ±1% 0.1W, 1/10W Chip Resistor 0603 (1608 Metric) Moisture Resistant Thick Film</t>
  </si>
  <si>
    <t>USB Power Switch</t>
  </si>
  <si>
    <t>500mA 4-port</t>
  </si>
  <si>
    <t>TPS2044BDR</t>
  </si>
  <si>
    <t>Power Switch/Driver 1:1 N-Channel 500mA 16-SOIC</t>
  </si>
  <si>
    <t>47k</t>
  </si>
  <si>
    <t>RC0603FR-0747KL</t>
  </si>
  <si>
    <t>47 kOhms ±1% 0.1W, 1/10W Chip Resistor 0603 (1608 Metric) Moisture Resistant Thick Film</t>
  </si>
  <si>
    <t>USB-A</t>
  </si>
  <si>
    <t>Male</t>
  </si>
  <si>
    <t>Female</t>
  </si>
  <si>
    <t>KUSBEX-ASFS1N-B</t>
  </si>
  <si>
    <t>USB2.0</t>
  </si>
  <si>
    <t>USB-A (USB TYPE-A) USB 2.0 Receptacle Connector 4 Position Through Hole, Right Angle</t>
  </si>
  <si>
    <t>USB-A Dual</t>
  </si>
  <si>
    <t>ORing Controller</t>
  </si>
  <si>
    <t>NCV68061SNAIT1G</t>
  </si>
  <si>
    <t>OR Controller N+1 ORing Controller N-Channel 1:1 6-TSOP</t>
  </si>
  <si>
    <t># of pads/points</t>
  </si>
  <si>
    <t>THM</t>
  </si>
  <si>
    <t>White PC Test Point, Multipurpose Phosphor Bronze Silver Plating Through Hole Mounting Type</t>
  </si>
  <si>
    <t>1000uF</t>
  </si>
  <si>
    <t>35V</t>
  </si>
  <si>
    <t>35PK1000MEFC10X20</t>
  </si>
  <si>
    <t>TB002-500-05BE</t>
  </si>
  <si>
    <t>5 Position Wire to Board Terminal Block Horizontal with Board 0.197" (5.00mm) Through Hole</t>
  </si>
  <si>
    <t>TB002-500-04BE</t>
  </si>
  <si>
    <t>4 Position Wire to Board Terminal Block Horizontal with Board 0.197" (5.00mm) Through Hole</t>
  </si>
  <si>
    <t>TB002-500-06BE</t>
  </si>
  <si>
    <t>6 Position Wire to Board Terminal Block Horizontal with Board 0.197" (5.00mm) Through Hole</t>
  </si>
  <si>
    <t>TB002-500-10BE</t>
  </si>
  <si>
    <t>10 Position Wire to Board Terminal Block Horizontal with Board 0.197" (5.00mm) Through Hole</t>
  </si>
  <si>
    <t>3mm Diameter</t>
  </si>
  <si>
    <t>151031VS06000</t>
  </si>
  <si>
    <t>CFR-25JR-52-220R</t>
  </si>
  <si>
    <t>220 Ohms ±5% 0.25W, 1/4W Through Hole Resistor Axial Automotive AEC-Q200 Carbon Film</t>
  </si>
  <si>
    <t>Neopixel (Single)</t>
  </si>
  <si>
    <t>LED</t>
  </si>
  <si>
    <t>5x5mm</t>
  </si>
  <si>
    <t>Clear</t>
  </si>
  <si>
    <t>RGB</t>
  </si>
  <si>
    <t>Addressable Lighting - LED Serial NRZ (Shift Register) Red, Green, Blue (RGB) 5.00mm L x 5.00mm W</t>
  </si>
  <si>
    <t>LDO</t>
  </si>
  <si>
    <t>0-26V</t>
  </si>
  <si>
    <t>1.25V-25V</t>
  </si>
  <si>
    <t>MIC29302WT</t>
  </si>
  <si>
    <t>Linear Voltage Regulator IC Positive Adjustable 1 Output 3A TO-220-5</t>
  </si>
  <si>
    <t>3.3k</t>
  </si>
  <si>
    <t>RC0603FR-073K3L</t>
  </si>
  <si>
    <t>3.3 kOhms ±1% 0.1W, 1/10W Chip Resistor 0603 (1608 Metric) Moisture Resistant Thick Film</t>
  </si>
  <si>
    <t>1.8V</t>
  </si>
  <si>
    <t>0-20V</t>
  </si>
  <si>
    <t>NCP1117IST18T3G</t>
  </si>
  <si>
    <t>Linear Voltage Regulator IC Positive Fixed 1 Output 1A SOT-223</t>
  </si>
  <si>
    <t>GRM188C81C106MA73D</t>
  </si>
  <si>
    <t>Speaker</t>
  </si>
  <si>
    <t>CMS-40558N-L152</t>
  </si>
  <si>
    <t>8 Ohms General Purpose Speaker 500 mW 400 Hz ~ 6 kHz Top Round</t>
  </si>
  <si>
    <t>I2C Bidirectional</t>
  </si>
  <si>
    <t>PCA9306DCTR</t>
  </si>
  <si>
    <t>Voltage Level Translator Bidirectional 1 Circuit 2 Channel SM8</t>
  </si>
  <si>
    <t>200k</t>
  </si>
  <si>
    <t>RC0603JR-07200KL</t>
  </si>
  <si>
    <t>200 kOhms ±5% 0.1W, 1/10W Chip Resistor 0603 (1608 Metric) Moisture Resistant Thick Film</t>
  </si>
  <si>
    <t>300k</t>
  </si>
  <si>
    <t>CRCW0603300KFKEA</t>
  </si>
  <si>
    <t>300 kOhms ±1% 0.125W, 1/8W Chip Resistor 0603 (1608 Metric) Automotive AEC-Q200 Thick Film</t>
  </si>
  <si>
    <t>RMCF0603FT10K0</t>
  </si>
  <si>
    <t>10 kOhms ±1% 0.1W, 1/10W Chip Resistor 0603 (1608 Metric) Automotive AEC-Q200 Thick Film</t>
  </si>
  <si>
    <t>Toggle Switch</t>
  </si>
  <si>
    <t>ANT11TFHQE</t>
  </si>
  <si>
    <t>5A</t>
  </si>
  <si>
    <t>28V</t>
  </si>
  <si>
    <t>Toggle Switch SPDT Through Hole, Right Angle</t>
  </si>
  <si>
    <t>DC Barrel Jack</t>
  </si>
  <si>
    <t>PJ-102A</t>
  </si>
  <si>
    <t>Power Barrel Connector Jack 2.00mm ID (0.079"), 5.50mm OD (0.217") Through Hole, Right Angle</t>
  </si>
  <si>
    <t>ID: 2.00mm</t>
  </si>
  <si>
    <t>27pF</t>
  </si>
  <si>
    <t>0603N270F500CT</t>
  </si>
  <si>
    <t>KUSBX-AS2N-B</t>
  </si>
  <si>
    <t>USB-A (USB TYPE-A), Stacked Receptacle Connector 8 Position Through Hole, Right Angle</t>
  </si>
  <si>
    <t>Xbee</t>
  </si>
  <si>
    <t>XBEE 900HP</t>
  </si>
  <si>
    <t>RF Device</t>
  </si>
  <si>
    <t>XBP9B-DMST-002</t>
  </si>
  <si>
    <t>0353620250</t>
  </si>
  <si>
    <t>Sherlock</t>
  </si>
  <si>
    <t>Connector Header Through Hole 2 position 0.079" (2.00mm)</t>
  </si>
  <si>
    <t>Pitch = 2.00mm</t>
  </si>
  <si>
    <t>151031SS06000</t>
  </si>
  <si>
    <t>B3W-9010-R1N</t>
  </si>
  <si>
    <t>Tactile Switch SPST-NO Top Actuated Through Hole</t>
  </si>
  <si>
    <t>Illuminated Red Pushbutton</t>
  </si>
  <si>
    <t>White</t>
  </si>
  <si>
    <t>QBL7IW60D-WW</t>
  </si>
  <si>
    <t>0353620450</t>
  </si>
  <si>
    <t>Connector Header Through Hole 4 position 0.079" (2.00mm)</t>
  </si>
  <si>
    <t>Audio Amplifier</t>
  </si>
  <si>
    <t>LM386N-1/NOPB</t>
  </si>
  <si>
    <t>Amplifier IC 1-Channel (Mono) Class AB 8-PDIP</t>
  </si>
  <si>
    <t>20-200V/V gain</t>
  </si>
  <si>
    <t>47nF</t>
  </si>
  <si>
    <t>C317C473M5U5TA</t>
  </si>
  <si>
    <t>CFR-25JT-52-10R</t>
  </si>
  <si>
    <t>10 Ohms ±5% 0.25W, 1/4W Through Hole Resistor Axial Automotive AEC-Q200 Carbon Film</t>
  </si>
  <si>
    <t>270uF</t>
  </si>
  <si>
    <t>35ZLH270MEFC8X16</t>
  </si>
  <si>
    <t>C320C104K5R5TA</t>
  </si>
  <si>
    <t>160V</t>
  </si>
  <si>
    <t>UVR2C100MPD</t>
  </si>
  <si>
    <t>151031YS05900</t>
  </si>
  <si>
    <t>DFPlayer Mini</t>
  </si>
  <si>
    <t>MP3 Player</t>
  </si>
  <si>
    <t>MicroSD, DAC, Speaker Amp</t>
  </si>
  <si>
    <t>DFR0299</t>
  </si>
  <si>
    <t>15k</t>
  </si>
  <si>
    <t>CRCW060315K0FKEA</t>
  </si>
  <si>
    <t>15 kOhms ±1% 0.125W, 1/8W Chip Resistor 0603 (1608 Metric) Automotive AEC-Q200 Thick Film</t>
  </si>
  <si>
    <t>CRCW0603680RFKEA</t>
  </si>
  <si>
    <t>680 Ohms ±1% 0.125W, 1/8W Chip Resistor 0603 (1608 Metric) Automotive AEC-Q200 Thick Film</t>
  </si>
  <si>
    <t>302-S161</t>
  </si>
  <si>
    <t>Mezzanine</t>
  </si>
  <si>
    <t>DF40C-12DP-0.4V(51)</t>
  </si>
  <si>
    <t>Pitch = 0.40mm</t>
  </si>
  <si>
    <t>12 Position Connector Receptacle, Center Strip Contacts Surface Mount Gold</t>
  </si>
  <si>
    <t>12 Position Connector Plug, Outer Shroud Contacts Surface Mount Gold</t>
  </si>
  <si>
    <t>Height = 2.0mm Pitch = 0.40mm</t>
  </si>
  <si>
    <t>DF40B(2.0)-12DS-0.4V(51)</t>
  </si>
  <si>
    <t>1kbit</t>
  </si>
  <si>
    <t>128 x 8/64 x 16</t>
  </si>
  <si>
    <t>3-Wire</t>
  </si>
  <si>
    <t>FLASH</t>
  </si>
  <si>
    <t>M93C46-WMN6TP</t>
  </si>
  <si>
    <t>EEPROM Memory IC 1Kbit Microwire 2 MHz 8-SOIC</t>
  </si>
  <si>
    <t>22pF</t>
  </si>
  <si>
    <t>CC0603JRNPO9BN220</t>
  </si>
  <si>
    <t>1.5k</t>
  </si>
  <si>
    <t>CR0603-FX-1501ELF</t>
  </si>
  <si>
    <t>1.5 kOhms ±1% 0.1W, 1/10W Chip Resistor 0603 (1608 Metric) Moisture Resistant Thick Film</t>
  </si>
  <si>
    <t>DF40HC(3.5)-20DS-0.4V(51)</t>
  </si>
  <si>
    <t>DF40C-20DP-0.4V(51)</t>
  </si>
  <si>
    <t>Height = 3.5mm</t>
  </si>
  <si>
    <t>SOD-123</t>
  </si>
  <si>
    <t>B5819W-TP</t>
  </si>
  <si>
    <t>Diode 40 V 1A Surface Mount SOD-123</t>
  </si>
  <si>
    <t>Zener</t>
  </si>
  <si>
    <t>5.6V</t>
  </si>
  <si>
    <t>N/A, rated for 1W</t>
  </si>
  <si>
    <t>DO-214AC</t>
  </si>
  <si>
    <t>SMAZ5V6-13-F</t>
  </si>
  <si>
    <t>Zener Diode 5.6 V 1 W ±5% Surface Mount SMA</t>
  </si>
  <si>
    <t>Optocoupler</t>
  </si>
  <si>
    <t>4N26S</t>
  </si>
  <si>
    <t>Optoisolator Transistor with Base Output 1500Vrms 1 Channel 6-SMD</t>
  </si>
  <si>
    <t>DF40C-30DP-0.4V(51)</t>
  </si>
  <si>
    <t>DF40HC(3.5)-30DS-0.4V(51)</t>
  </si>
  <si>
    <t>30 Position Connector Receptacle, Center Strip Contacts Surface Mount Gold</t>
  </si>
  <si>
    <t>30 Position Connector Plug, Outer Shroud Contacts Surface Mount Gold</t>
  </si>
  <si>
    <t>USB-B Mini</t>
  </si>
  <si>
    <t>MUSB-05-S-B-SM-A-K-TR</t>
  </si>
  <si>
    <t>USB - mini B USB 2.0 Receptacle Connector 5 Position Surface Mount, Right Angle</t>
  </si>
  <si>
    <t>Via</t>
  </si>
  <si>
    <t>Signal Via</t>
  </si>
  <si>
    <t>Shape</t>
  </si>
  <si>
    <t>Round</t>
  </si>
  <si>
    <t>Hole Size (diameter)</t>
  </si>
  <si>
    <t>3.5mm</t>
  </si>
  <si>
    <t>Copper X-Size</t>
  </si>
  <si>
    <t>Copper Y-Size</t>
  </si>
  <si>
    <t>6mm</t>
  </si>
  <si>
    <t>0.3mm</t>
  </si>
  <si>
    <t>0.7mm</t>
  </si>
  <si>
    <t>Thru-hole via for signal connection.</t>
  </si>
  <si>
    <t>Use for board mounting points. Place 4.5mm from board edges.</t>
  </si>
  <si>
    <t>Lug</t>
  </si>
  <si>
    <t>AMT0440005TH0000G</t>
  </si>
  <si>
    <t>4 Pin Screw Terminal, Power Tap M4 Through Hole</t>
  </si>
  <si>
    <t>AMT0230003TH0000G</t>
  </si>
  <si>
    <t>2 Pin Screw Terminal, Power Tap M3 Through Hole</t>
  </si>
  <si>
    <t>NTC Thermistor</t>
  </si>
  <si>
    <t>B57164K0103J000</t>
  </si>
  <si>
    <t>NTC Thermistor 10k Disc, 5.5mm Dia x 5.0mm W</t>
  </si>
  <si>
    <t>CL10B105KA8NNNC</t>
  </si>
  <si>
    <t>470pF</t>
  </si>
  <si>
    <t>CL10C471JB8NNNC</t>
  </si>
  <si>
    <t>4700pF</t>
  </si>
  <si>
    <t>Battery Monitor / BMS</t>
  </si>
  <si>
    <t>For LiPos with 3-5 cells</t>
  </si>
  <si>
    <t>BQ7692006PWR</t>
  </si>
  <si>
    <t>Battery Battery Monitor IC Multi-Chemistry 20-TSSOP</t>
  </si>
  <si>
    <t>JST</t>
  </si>
  <si>
    <t>SM03B-SRSS-TB</t>
  </si>
  <si>
    <t>Connector Header Surface Mount, Right Angle 3 position 0.039" (1.00mm)</t>
  </si>
  <si>
    <t>Debug connector recommended for RP2350-series SW pins.</t>
  </si>
  <si>
    <t>0.01uF</t>
  </si>
  <si>
    <t>C0603C103K5RACTU</t>
  </si>
  <si>
    <t>CL10B472KB8WPNC</t>
  </si>
  <si>
    <t>Back-to-back external NMOS</t>
  </si>
  <si>
    <t>Single external NMOS</t>
  </si>
  <si>
    <t>2CH single internal NMOS</t>
  </si>
  <si>
    <t>LM74810QDRRRQ1</t>
  </si>
  <si>
    <t>OR Controller N+1 ORing Controller N-Channel 1:1 12-WSON (3x3)</t>
  </si>
  <si>
    <t>TVS</t>
  </si>
  <si>
    <t>33V</t>
  </si>
  <si>
    <t>N/A, rated for 600W</t>
  </si>
  <si>
    <t>SMBJ33CA</t>
  </si>
  <si>
    <t>53.3V Clamp 11.3A Ipp Tvs Diode Surface Mount DO-214AA (SMBJ)</t>
  </si>
  <si>
    <t>90.9k</t>
  </si>
  <si>
    <t>CR0603-FX-9092ELF</t>
  </si>
  <si>
    <t>90.9 kOhms ±1% 0.1W, 1/10W Chip Resistor 0603 (1608 Metric) Moisture Resistant Thick Film</t>
  </si>
  <si>
    <t>9.09k</t>
  </si>
  <si>
    <t>RMCF0603FT9K09</t>
  </si>
  <si>
    <t>9.09 kOhms ±1% 0.1W, 1/10W Chip Resistor 0603 (1608 Metric) Automotive AEC-Q200 Thick Film</t>
  </si>
  <si>
    <t>3.48k</t>
  </si>
  <si>
    <t>RMCF0603FT3K48</t>
  </si>
  <si>
    <t>3.48 kOhms ±1% 0.1W, 1/10W Chip Resistor 0603 (1608 Metric) Automotive AEC-Q200 Thick Film</t>
  </si>
  <si>
    <t>SPI-CAN Bridge</t>
  </si>
  <si>
    <t>MCP2518FDT-E/SL</t>
  </si>
  <si>
    <t>Uses single-ended CAN</t>
  </si>
  <si>
    <t>CAN Controller CAN 2.0 SPI Interface 14-SOIC</t>
  </si>
  <si>
    <t>CAN Frontend Transceiver</t>
  </si>
  <si>
    <t>Single-ended CAN to CAN FD</t>
  </si>
  <si>
    <t>ATA6561-GAQW-N</t>
  </si>
  <si>
    <t>1/1 Transceiver CANbus 8-SO</t>
  </si>
  <si>
    <t>RC0603FR-07120RL</t>
  </si>
  <si>
    <t>120 Ohms ±1% 0.1W, 1/10W Chip Resistor 0603 (1608 Metric) Moisture Resistant Thick Film</t>
  </si>
  <si>
    <t>TSX-3225 20.0000MF20G-AC3</t>
  </si>
  <si>
    <t>20 MHz ±10ppm Crystal 9pF 60 Ohms 4-SMD, No Lead</t>
  </si>
  <si>
    <t>9pF</t>
  </si>
  <si>
    <t>20MHz</t>
  </si>
  <si>
    <t>0353620350</t>
  </si>
  <si>
    <t>Connector Header Through Hole 3 position 0.079" (2.00mm)</t>
  </si>
  <si>
    <t>5V</t>
  </si>
  <si>
    <t>LM2677SX-5.0/NOPB</t>
  </si>
  <si>
    <t>Buck Switching Regulator IC Positive Fixed 5V 1 Output 5A TO-263-8, D2PAK (7 Leads + Tab), TO-263CA</t>
  </si>
  <si>
    <t>8-45V</t>
  </si>
  <si>
    <t>90deg 2.54mm pitch</t>
  </si>
  <si>
    <t>6.3mm Dia</t>
  </si>
  <si>
    <t>UWT1V470MCL1GS</t>
  </si>
  <si>
    <t>Inrush Current Limiter</t>
  </si>
  <si>
    <t>TPS2491DGSR</t>
  </si>
  <si>
    <t>Hot Swap Controller 1 Channel General Purpose 10-VSSOP</t>
  </si>
  <si>
    <t>Electronic Fuse</t>
  </si>
  <si>
    <t>3-18V, 4A output, internal FET</t>
  </si>
  <si>
    <t>TPS259571DSGR</t>
  </si>
  <si>
    <t>Electronic Fuse Regulator 4A 8-WSON (2x2)</t>
  </si>
  <si>
    <t>22uF</t>
  </si>
  <si>
    <t>CL21A226MAYNNWE</t>
  </si>
  <si>
    <t>392k</t>
  </si>
  <si>
    <t>CR0603-FX-3923ELF</t>
  </si>
  <si>
    <t>392 kOhms ±1% 0.1W, 1/10W Chip Resistor 0603 (1608 Metric) Moisture Resistant Thick Film</t>
  </si>
  <si>
    <t>RC0603FR-07845RL</t>
  </si>
  <si>
    <t>845 Ohms ±1% 0.1W, 1/10W Chip Resistor 0603 (1608 Metric) Moisture Resistant Thick Film</t>
  </si>
  <si>
    <t>RMCF0603FT698R</t>
  </si>
  <si>
    <t>698 Ohms ±1% 0.1W, 1/10W Chip Resistor 0603 (1608 Metric) Automotive AEC-Q200 Thick Film</t>
  </si>
  <si>
    <t>0353630360</t>
  </si>
  <si>
    <t>90deg 2.0mm pitch</t>
  </si>
  <si>
    <t>Connector Header Through Hole, Right Angle 3 position 0.079" (2.00mm)</t>
  </si>
  <si>
    <t>53.2k</t>
  </si>
  <si>
    <t>RC0603FR-0752K3L</t>
  </si>
  <si>
    <t>52.3 kOhms ±1% 0.1W, 1/10W Chip Resistor 0603 (1608 Metric) Moisture Resistant Thick Film</t>
  </si>
  <si>
    <t>GRM188R61E225KA12D</t>
  </si>
  <si>
    <t>414A</t>
  </si>
  <si>
    <t>R_DS ON</t>
  </si>
  <si>
    <t>0.55mOhm</t>
  </si>
  <si>
    <t>TDSON-8</t>
  </si>
  <si>
    <t>IAUCN04S7N005ATMA1</t>
  </si>
  <si>
    <t>N-Channel 40 V 175A (Tj) 179W (Tc) Surface Mount PG-TDSON-8-43</t>
  </si>
  <si>
    <t>CEM-1212S</t>
  </si>
  <si>
    <t>Buzzers Transducer, Externally Driven Magnetic 12 V 40mA 2.4kHz 85dB @ 12V, 10cm Through Hole PC Pins</t>
  </si>
  <si>
    <t>SOT-323</t>
  </si>
  <si>
    <t>1.4A</t>
  </si>
  <si>
    <t>160mOhm</t>
  </si>
  <si>
    <t>BSS816NWH6327XTSA1</t>
  </si>
  <si>
    <t>N-Channel 20 V 1.4A (Ta) 500mW (Ta) Surface Mount PG-SOT323</t>
  </si>
  <si>
    <t>CT08E-16S400-2</t>
  </si>
  <si>
    <t>Buzzers Transducer, Externally Driven Magnetic 12 V 80mA 4kHz 100dB @ 12V, 10cm Surface Mount Solder Pads</t>
  </si>
  <si>
    <t>CL10B104KB8NNNC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</si>
</sst>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7030A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92D05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3" tint="0.249977111117893"/>
        </patternFill>
      </fill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50" totalsRowShown="0">
  <autoFilter ref="A1:I50" xr:uid="{66640DDE-A600-4D40-886A-D93F6DB5FAB3}"/>
  <tableColumns count="9">
    <tableColumn id="8" xr3:uid="{B97E7FE0-D68A-4659-9DE5-965B7C74FB58}" name="Added to Altium?" dataDxfId="76"/>
    <tableColumn id="1" xr3:uid="{BDC3005D-8889-49B9-B05B-9B4FB822D92C}" name="Capacitance"/>
    <tableColumn id="2" xr3:uid="{204119AE-0485-4922-A3C8-7CDD048C63F5}" name="Package" dataDxfId="75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74"/>
    <tableColumn id="9" xr3:uid="{B82114B5-A4D9-4327-9F80-0D9587A64062}" name="Polarity" dataDxfId="73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1:H50" totalsRowShown="0" headerRowDxfId="72">
  <autoFilter ref="A1:H50" xr:uid="{7090E628-1F8E-4CB3-BC5C-768E76CEFDDC}"/>
  <sortState xmlns:xlrd2="http://schemas.microsoft.com/office/spreadsheetml/2017/richdata2" ref="A2:H50">
    <sortCondition ref="B1:B50"/>
  </sortState>
  <tableColumns count="8">
    <tableColumn id="7" xr3:uid="{CE9E315A-1702-4F78-8ECF-1DA1A2B792AA}" name="Added to Altium?" dataDxfId="71"/>
    <tableColumn id="1" xr3:uid="{D5AE5A29-FEF0-4556-97F0-002479587894}" name="Series / Family" dataDxfId="70"/>
    <tableColumn id="2" xr3:uid="{8673F73F-EA18-4F48-837C-C3D933082CD8}" name="# Pins" dataDxfId="69"/>
    <tableColumn id="3" xr3:uid="{F61E1994-58CD-4ECF-A835-1786BECF70C2}" name="Gender (plug/port)" dataDxfId="68"/>
    <tableColumn id="4" xr3:uid="{ADD992CB-74CD-4839-9C1F-4CA1C98DDDE6}" name="Part Number" dataDxfId="67"/>
    <tableColumn id="8" xr3:uid="{0052054B-61D9-4444-933B-4830DE18EF5D}" name="Mating Connector Part Number" dataDxfId="66"/>
    <tableColumn id="9" xr3:uid="{DF57140F-10E9-43CB-BE16-5AB59D2592F7}" name="Notes" dataDxfId="65"/>
    <tableColumn id="5" xr3:uid="{E04857DF-CEB1-4D64-87C3-2580C252E44F}" name="Description" dataDxfId="64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G20" totalsRowShown="0" headerRowDxfId="63">
  <autoFilter ref="A1:G20" xr:uid="{AC1B69C7-59BA-492E-BEF3-378F8F5A5F42}"/>
  <tableColumns count="7">
    <tableColumn id="7" xr3:uid="{373BF80E-AE0E-45C8-9A43-A9D96680B6E9}" name="Added to Altium?" dataDxfId="62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737D88-F4D8-4117-9BA5-1B2CC31DE11A}" name="Devices" displayName="Devices" ref="A1:F50" totalsRowShown="0" headerRowDxfId="61">
  <autoFilter ref="A1:F50" xr:uid="{C5737D88-F4D8-4117-9BA5-1B2CC31DE11A}"/>
  <tableColumns count="6">
    <tableColumn id="7" xr3:uid="{6415E46E-CEE3-460F-B779-529E15CD07B6}" name="Added to Altium?" dataDxfId="60"/>
    <tableColumn id="8" xr3:uid="{A1AE6712-2A25-444F-8418-5CCFC5CDB835}" name="Series" dataDxfId="59"/>
    <tableColumn id="9" xr3:uid="{6F530F3C-B40B-43DA-AB86-21341EB4DAD1}" name="Device"/>
    <tableColumn id="1" xr3:uid="{4AA09E23-76BE-4EAC-BAB7-D19DB7FEF15D}" name="Type"/>
    <tableColumn id="5" xr3:uid="{79DDF2A7-4DA6-48DB-8655-801CD7025B51}" name="Part Number"/>
    <tableColumn id="6" xr3:uid="{98E5662B-B2A3-45B4-838E-850C8F451D59}" name="Description"/>
  </tableColumns>
  <tableStyleInfo name="TableStyleMedium2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58">
  <autoFilter ref="A1:E11" xr:uid="{EE7552C4-F486-457F-A2F8-480493B7351C}"/>
  <tableColumns count="5">
    <tableColumn id="5" xr3:uid="{7A1ACCA6-7C12-421C-A8B0-DAF52C5B82F1}" name="Added to Altium?" dataDxfId="57"/>
    <tableColumn id="1" xr3:uid="{29766E43-A003-4F30-8FBC-98197408FA6D}" name="Part Number" dataDxfId="56"/>
    <tableColumn id="2" xr3:uid="{9E0E83BD-C619-4B71-B8D8-093D6B07D9D5}" name="Package" dataDxfId="55"/>
    <tableColumn id="3" xr3:uid="{6C643D04-D582-419C-9C7F-1B57D4315CFE}" name="Resistance" dataDxfId="54"/>
    <tableColumn id="4" xr3:uid="{67D14711-9F21-4BBC-9182-15BB5F898016}" name="Description" dataDxfId="53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I10" totalsRowShown="0" headerRowDxfId="52">
  <autoFilter ref="A1:I10" xr:uid="{53E52592-BBF3-4884-BA3C-21683DC4F0F1}"/>
  <tableColumns count="9">
    <tableColumn id="7" xr3:uid="{9030A4FE-0A13-4A65-8271-CB2306DED874}" name="Added to Altium?" dataDxfId="51"/>
    <tableColumn id="8" xr3:uid="{7A093B6F-93A8-4A04-9A40-8451BE8854E4}" name="Type" dataDxfId="50"/>
    <tableColumn id="4" xr3:uid="{D6AD8AA5-BC88-4F36-A647-B68EB5308316}" name="Automotive Fuse Size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9" xr3:uid="{BF98862C-5E35-4DBE-80C5-A9ECB0D26CD1}" name="Max Current"/>
    <tableColumn id="5" xr3:uid="{9FC9BA3F-0AA8-4AE4-B9F4-9638DD107480}" name="MFR 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30" totalsRowShown="0">
  <autoFilter ref="A1:E30" xr:uid="{CF6FA6FB-E17E-44DE-A790-4DB35B6C38E6}"/>
  <sortState xmlns:xlrd2="http://schemas.microsoft.com/office/spreadsheetml/2017/richdata2" ref="A2:E10">
    <sortCondition ref="B1:B10"/>
  </sortState>
  <tableColumns count="5">
    <tableColumn id="4" xr3:uid="{2DF829CD-290D-41D3-B284-4B22DE33C4AA}" name="Added to Altium?" dataDxfId="49"/>
    <tableColumn id="5" xr3:uid="{0460994E-DB61-407B-B7D3-3CAA8ED4BC9D}" name="Function" dataDxfId="48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E11" totalsRowShown="0" headerRowDxfId="47">
  <autoFilter ref="A1:E11" xr:uid="{8788865D-3714-4394-BD76-99FF24EF6888}"/>
  <tableColumns count="5">
    <tableColumn id="5" xr3:uid="{67CA846A-F07D-4034-8F63-B4E47CA7F931}" name="Added to Altium?" dataDxfId="46"/>
    <tableColumn id="1" xr3:uid="{EBC427FC-C649-421F-A511-F4C6E090217A}" name="Inductance" dataDxfId="45"/>
    <tableColumn id="2" xr3:uid="{57FAF0ED-182E-4A05-89A5-EE5FE9CF2C31}" name="Package" dataDxfId="44"/>
    <tableColumn id="3" xr3:uid="{5B4ACDCC-FB26-4063-91C8-D6D43ABD7134}" name="Part Number" dataDxfId="43"/>
    <tableColumn id="4" xr3:uid="{CFE06357-AAEA-49E4-8ED8-14478316C7C8}" name="Description" dataDxfId="42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H10" totalsRowShown="0">
  <autoFilter ref="A1:H10" xr:uid="{C732A860-4A42-46A7-A5FA-C00091FE4BA3}"/>
  <tableColumns count="8">
    <tableColumn id="7" xr3:uid="{B2E48D06-BAB0-4133-877E-867AB2EC32E9}" name="Added to Altium?" dataDxfId="41"/>
    <tableColumn id="8" xr3:uid="{22D7B7BF-E3CF-4637-92B5-B74434B0A877}" name="Type" dataDxfId="40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39"/>
    <tableColumn id="3" xr3:uid="{95A3DF17-FA71-419C-9869-87ACAC774187}" name="Dome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03BBEA-AE4C-45BB-9CD5-736F7FCCE237}" name="ICs_10" displayName="ICs_10" ref="A1:G10" totalsRowShown="0" headerRowDxfId="38">
  <autoFilter ref="A1:G10" xr:uid="{EF03BBEA-AE4C-45BB-9CD5-736F7FCCE237}"/>
  <tableColumns count="7">
    <tableColumn id="4" xr3:uid="{2AE73037-16FE-4A0E-B4B4-CF3863388825}" name="Added to Altium?" dataDxfId="37"/>
    <tableColumn id="2" xr3:uid="{D4673AC2-9436-437D-9DE0-521034F11263}" name="Memory Organization"/>
    <tableColumn id="6" xr3:uid="{088605FE-5C4A-4A9F-9607-7699E9A0ED47}" name="Total Capacity"/>
    <tableColumn id="7" xr3:uid="{E9CAAB16-100E-4178-A533-7FCE76F08C9F}" name="Interface"/>
    <tableColumn id="8" xr3:uid="{1B40ECAD-7E4F-4936-8EB8-A174AA1D166F}" name="Storage Technology"/>
    <tableColumn id="1" xr3:uid="{17E1E51F-9816-4C78-B26A-448802891ECB}" name="Part Number"/>
    <tableColumn id="3" xr3:uid="{E791ECFE-A648-44A2-B8E6-CEAD893C7066}" name="Description"/>
  </tableColumns>
  <tableStyleInfo name="TableStyleMedium1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sortState xmlns:xlrd2="http://schemas.microsoft.com/office/spreadsheetml/2017/richdata2" ref="A2:D13">
    <sortCondition ref="B1:B13"/>
  </sortState>
  <tableColumns count="4">
    <tableColumn id="4" xr3:uid="{6C04560D-813B-4E79-B81B-87E653E3F958}" name="Added to Altium?" dataDxfId="77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40CA8A6-1C4E-486A-ACF3-77702798EDC5}" name="Mounts_Pads_Vias" displayName="Mounts_Pads_Vias" ref="A1:H11" totalsRowShown="0" headerRowDxfId="36">
  <autoFilter ref="A1:H11" xr:uid="{8788865D-3714-4394-BD76-99FF24EF6888}"/>
  <tableColumns count="8">
    <tableColumn id="5" xr3:uid="{AEAC8F87-1C2D-4AB2-AF57-3B985B9984E8}" name="Added to Altium?" dataDxfId="35"/>
    <tableColumn id="6" xr3:uid="{013363CF-8CB8-438A-8840-8BE5C88DD21A}" name="Type" dataDxfId="34"/>
    <tableColumn id="1" xr3:uid="{D05BE736-0061-4B08-B525-77CB6D52275D}" name="Name" dataDxfId="33"/>
    <tableColumn id="2" xr3:uid="{7A597B79-DB0B-4F42-A26A-5BFC2BE446DB}" name="Shape" dataDxfId="32"/>
    <tableColumn id="3" xr3:uid="{9BE909D1-CB3E-47D8-89BD-A5A9007FC19A}" name="Hole Size (diameter)" dataDxfId="31"/>
    <tableColumn id="8" xr3:uid="{9D59173A-B663-440B-ABB2-B4420C0F2F76}" name="Copper X-Size" dataDxfId="30"/>
    <tableColumn id="7" xr3:uid="{0B466DAF-712F-4EDB-BA0B-281F181D75D1}" name="Copper Y-Size" dataDxfId="29"/>
    <tableColumn id="4" xr3:uid="{63AE9014-61F7-479D-A241-EAA26D52AAA0}" name="Description" dataDxfId="28"/>
  </tableColumns>
  <tableStyleInfo name="TableStyleMedium1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27" dataDxfId="26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25"/>
    <tableColumn id="1" xr3:uid="{0881C807-AE0D-4E97-942D-F1BB4BC72740}" name="Name" dataDxfId="24"/>
    <tableColumn id="3" xr3:uid="{FF11C1E0-268B-4AB9-A529-8334EF2C69FD}" name="# GPIO" dataDxfId="23"/>
    <tableColumn id="8" xr3:uid="{55162BE7-C291-4B9F-ABE8-A7DE102A5A2F}" name="UART" dataDxfId="22"/>
    <tableColumn id="9" xr3:uid="{12871EC5-67F1-442C-B9F6-E715FA2B13DA}" name="SPI" dataDxfId="21"/>
    <tableColumn id="10" xr3:uid="{0676FDA2-81C4-49A9-A3D1-DEE7F28D8014}" name="I2C" dataDxfId="20"/>
    <tableColumn id="11" xr3:uid="{4D86DECE-60FC-46A0-B57F-AB144D9C1459}" name="PWM" dataDxfId="19"/>
    <tableColumn id="12" xr3:uid="{F498CA82-C855-4B59-BFFB-E076763E2C7B}" name="USB" dataDxfId="18"/>
    <tableColumn id="6" xr3:uid="{1C8B55E3-7B48-484B-9DEC-D60D33855BF8}" name="Part Number" dataDxfId="17"/>
    <tableColumn id="5" xr3:uid="{EB01044E-239A-43EB-B0C2-1F87DDB54160}" name="Description" dataDxfId="16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50" totalsRowShown="0" headerRowDxfId="15" dataDxfId="14">
  <autoFilter ref="A1:H50" xr:uid="{FE99B236-7512-4792-AE6E-EED4D7BDA003}"/>
  <sortState xmlns:xlrd2="http://schemas.microsoft.com/office/spreadsheetml/2017/richdata2" ref="A2:H50">
    <sortCondition ref="C1:C50"/>
  </sortState>
  <tableColumns count="8">
    <tableColumn id="8" xr3:uid="{5CCC4BAB-E9A7-42D2-BFCF-40A14E4FCFB3}" name="Added to Altium?" dataDxfId="13"/>
    <tableColumn id="1" xr3:uid="{E2BB1AD3-36C9-4D80-8A78-E46D0D28B43D}" name="Resistance" dataDxfId="12"/>
    <tableColumn id="7" xr3:uid="{C2F2285A-BFA3-4714-8945-6FE63C9CDE81}" name="Res (Raw)" dataDxfId="11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10"/>
    <tableColumn id="3" xr3:uid="{F1269AFE-5CA5-4F00-93B8-6023E945504D}" name="Package" dataDxfId="9"/>
    <tableColumn id="4" xr3:uid="{A4374340-1758-433F-80B6-83ABF6D97E11}" name="Wattage" dataDxfId="8"/>
    <tableColumn id="5" xr3:uid="{7C53E4E9-C23D-4482-9A46-441AB8A4E1B1}" name="Part Number" dataDxfId="7"/>
    <tableColumn id="6" xr3:uid="{BD8216A4-1B75-4738-A589-0D33231AD075}" name="Description" dataDxfId="6"/>
  </tableColumns>
  <tableStyleInfo name="TableStyleMedium1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5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800FF98-41EA-493F-A089-14FECFF39D7A}" name="Test_Points" displayName="Test_Points" ref="A1:F11" totalsRowShown="0" headerRowDxfId="4">
  <autoFilter ref="A1:F11" xr:uid="{EA8CC69A-B6DA-4750-BA77-538662D89C27}"/>
  <tableColumns count="6">
    <tableColumn id="7" xr3:uid="{5FA1F5D0-B5EA-4DAB-B07A-643BF29E8565}" name="Added to Altium?" dataDxfId="3"/>
    <tableColumn id="1" xr3:uid="{CC1FCF46-8E52-4166-BC69-286FE8778BAA}" name="Mounting Type"/>
    <tableColumn id="3" xr3:uid="{25F97020-E67A-4F9F-99D3-71374E9FAEC5}" name="# of pads/points"/>
    <tableColumn id="6" xr3:uid="{6395E911-E7EB-4DC7-B232-C23AAD6F19AF}" name="Series"/>
    <tableColumn id="2" xr3:uid="{54277133-CDEB-4896-A3F4-4D5041C953E2}" name="Part Number"/>
    <tableColumn id="5" xr3:uid="{4F0522B7-C539-49F6-9D19-B7E8FC517D29}" name="Description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61C41B4-4EE2-4BF0-B2F3-2F2A51D3792A}" name="Transistors" displayName="Transistors" ref="A1:I11" totalsRowShown="0" headerRowDxfId="2">
  <autoFilter ref="A1:I11" xr:uid="{EA8CC69A-B6DA-4750-BA77-538662D89C27}"/>
  <tableColumns count="9">
    <tableColumn id="7" xr3:uid="{3A0D6614-B80A-4184-9ADE-5206B38A06E5}" name="Added to Altium?" dataDxfId="1"/>
    <tableColumn id="1" xr3:uid="{05D09AC3-5445-495F-8B8E-1C98473F2758}" name="Technology"/>
    <tableColumn id="6" xr3:uid="{F919A207-76D0-435F-BB24-020D391F6DB9}" name="Configuration"/>
    <tableColumn id="8" xr3:uid="{4CC17C6A-1F84-408C-8AAD-69C3E5F234CA}" name="Max Voltage"/>
    <tableColumn id="9" xr3:uid="{FA22E62F-7E13-4041-BB66-67939E85474C}" name="Max Current"/>
    <tableColumn id="3" xr3:uid="{5E7CA287-64BF-4DA0-8B81-CC0B60DF8DC3}" name="R_DS ON"/>
    <tableColumn id="10" xr3:uid="{79074C68-5379-4ED9-8417-71FC69EB72D5}" name="Footprint"/>
    <tableColumn id="2" xr3:uid="{AAEE8F7E-F03A-40F6-9712-841D9CE7A202}" name="Part Number"/>
    <tableColumn id="5" xr3:uid="{DEB8C3AD-DE50-4BCC-ACE8-43D3498711DF}" name="Description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H12" totalsRowShown="0">
  <autoFilter ref="A1:H12" xr:uid="{82CFED5E-627B-4A23-9BFA-C489CEA32F25}"/>
  <sortState xmlns:xlrd2="http://schemas.microsoft.com/office/spreadsheetml/2017/richdata2" ref="A2:H12">
    <sortCondition ref="B1:B12"/>
  </sortState>
  <tableColumns count="8">
    <tableColumn id="3" xr3:uid="{DD7A1A9A-DE5A-4766-9947-A308E87BA7FD}" name="Added to Altium?" dataDxfId="0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179</v>
      </c>
    </row>
    <row r="2" spans="1:4" x14ac:dyDescent="0.35">
      <c r="A2" t="s">
        <v>180</v>
      </c>
    </row>
    <row r="3" spans="1:4" x14ac:dyDescent="0.35">
      <c r="A3" t="s">
        <v>191</v>
      </c>
      <c r="D3" t="s">
        <v>198</v>
      </c>
    </row>
    <row r="4" spans="1:4" x14ac:dyDescent="0.35">
      <c r="A4" t="s">
        <v>189</v>
      </c>
    </row>
    <row r="5" spans="1:4" x14ac:dyDescent="0.35">
      <c r="A5" t="s">
        <v>181</v>
      </c>
      <c r="D5" t="s">
        <v>199</v>
      </c>
    </row>
    <row r="6" spans="1:4" x14ac:dyDescent="0.35">
      <c r="A6" t="s">
        <v>192</v>
      </c>
    </row>
    <row r="7" spans="1:4" x14ac:dyDescent="0.35">
      <c r="A7" t="s">
        <v>190</v>
      </c>
    </row>
    <row r="8" spans="1:4" x14ac:dyDescent="0.35">
      <c r="A8" t="s">
        <v>185</v>
      </c>
    </row>
    <row r="9" spans="1:4" x14ac:dyDescent="0.35">
      <c r="A9" t="s">
        <v>184</v>
      </c>
    </row>
    <row r="10" spans="1:4" x14ac:dyDescent="0.35">
      <c r="A10" t="s">
        <v>187</v>
      </c>
    </row>
    <row r="11" spans="1:4" x14ac:dyDescent="0.35">
      <c r="A11" t="s">
        <v>188</v>
      </c>
    </row>
    <row r="12" spans="1:4" x14ac:dyDescent="0.35">
      <c r="A12" t="s">
        <v>233</v>
      </c>
    </row>
    <row r="13" spans="1:4" x14ac:dyDescent="0.35">
      <c r="A13" t="s">
        <v>182</v>
      </c>
    </row>
    <row r="14" spans="1:4" x14ac:dyDescent="0.35">
      <c r="A14" t="s">
        <v>183</v>
      </c>
    </row>
    <row r="15" spans="1:4" x14ac:dyDescent="0.35">
      <c r="A15" t="s">
        <v>186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50"/>
  <sheetViews>
    <sheetView tabSelected="1" zoomScale="110" workbookViewId="0">
      <selection activeCell="I2" sqref="I2"/>
    </sheetView>
  </sheetViews>
  <sheetFormatPr defaultColWidth="0" defaultRowHeight="14.5" zeroHeight="1" x14ac:dyDescent="0.35"/>
  <cols>
    <col min="1" max="1" width="17.26953125" customWidth="1"/>
    <col min="2" max="2" width="14.36328125" customWidth="1"/>
    <col min="3" max="3" width="14.36328125" style="3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200</v>
      </c>
      <c r="B1" s="1" t="s">
        <v>0</v>
      </c>
      <c r="C1" s="2" t="s">
        <v>3</v>
      </c>
      <c r="D1" s="1" t="s">
        <v>1</v>
      </c>
      <c r="E1" s="1" t="s">
        <v>50</v>
      </c>
      <c r="F1" s="2" t="s">
        <v>193</v>
      </c>
      <c r="G1" s="2" t="s">
        <v>203</v>
      </c>
      <c r="H1" s="1" t="s">
        <v>4</v>
      </c>
      <c r="I1" s="1" t="s">
        <v>7</v>
      </c>
    </row>
    <row r="2" spans="1:9" x14ac:dyDescent="0.35">
      <c r="A2" s="9" t="b">
        <v>1</v>
      </c>
      <c r="B2" t="s">
        <v>5</v>
      </c>
      <c r="C2" s="3" t="s">
        <v>8</v>
      </c>
      <c r="D2" t="s">
        <v>109</v>
      </c>
      <c r="E2" s="5">
        <v>0.1</v>
      </c>
      <c r="F2" s="3" t="s">
        <v>106</v>
      </c>
      <c r="G2" s="3" t="s">
        <v>201</v>
      </c>
      <c r="H2" t="s">
        <v>9</v>
      </c>
      <c r="I2" t="s">
        <v>602</v>
      </c>
    </row>
    <row r="3" spans="1:9" x14ac:dyDescent="0.35">
      <c r="A3" s="9" t="b">
        <v>1</v>
      </c>
      <c r="B3" t="s">
        <v>11</v>
      </c>
      <c r="C3" s="3" t="s">
        <v>8</v>
      </c>
      <c r="D3" t="s">
        <v>12</v>
      </c>
      <c r="E3" s="5">
        <v>0.1</v>
      </c>
      <c r="F3" s="3" t="s">
        <v>106</v>
      </c>
      <c r="G3" s="3" t="s">
        <v>201</v>
      </c>
      <c r="H3" t="s">
        <v>9</v>
      </c>
      <c r="I3" t="s">
        <v>10</v>
      </c>
    </row>
    <row r="4" spans="1:9" x14ac:dyDescent="0.35">
      <c r="A4" s="9" t="b">
        <v>1</v>
      </c>
      <c r="B4" t="s">
        <v>14</v>
      </c>
      <c r="C4" s="3" t="s">
        <v>8</v>
      </c>
      <c r="D4" t="s">
        <v>15</v>
      </c>
      <c r="E4" s="5">
        <v>0.01</v>
      </c>
      <c r="F4" s="3" t="s">
        <v>106</v>
      </c>
      <c r="G4" s="3" t="s">
        <v>201</v>
      </c>
      <c r="H4" t="s">
        <v>9</v>
      </c>
      <c r="I4" t="s">
        <v>13</v>
      </c>
    </row>
    <row r="5" spans="1:9" x14ac:dyDescent="0.35">
      <c r="A5" s="9" t="b">
        <v>1</v>
      </c>
      <c r="B5" t="s">
        <v>17</v>
      </c>
      <c r="C5" s="3" t="s">
        <v>8</v>
      </c>
      <c r="D5" t="s">
        <v>18</v>
      </c>
      <c r="E5" s="5">
        <v>0.1</v>
      </c>
      <c r="F5" s="3" t="s">
        <v>106</v>
      </c>
      <c r="G5" s="3" t="s">
        <v>201</v>
      </c>
      <c r="H5" t="s">
        <v>9</v>
      </c>
      <c r="I5" t="s">
        <v>16</v>
      </c>
    </row>
    <row r="6" spans="1:9" x14ac:dyDescent="0.35">
      <c r="A6" s="9" t="b">
        <v>1</v>
      </c>
      <c r="B6" t="s">
        <v>5</v>
      </c>
      <c r="C6" s="3" t="s">
        <v>24</v>
      </c>
      <c r="D6" t="s">
        <v>109</v>
      </c>
      <c r="E6" s="5">
        <v>0.1</v>
      </c>
      <c r="F6" s="3" t="s">
        <v>106</v>
      </c>
      <c r="G6" s="3" t="s">
        <v>201</v>
      </c>
      <c r="H6" t="s">
        <v>9</v>
      </c>
      <c r="I6" t="s">
        <v>111</v>
      </c>
    </row>
    <row r="7" spans="1:9" x14ac:dyDescent="0.35">
      <c r="A7" s="9" t="b">
        <v>1</v>
      </c>
      <c r="B7" t="s">
        <v>108</v>
      </c>
      <c r="C7" s="3" t="s">
        <v>24</v>
      </c>
      <c r="D7" t="s">
        <v>109</v>
      </c>
      <c r="E7" s="5">
        <v>0.1</v>
      </c>
      <c r="F7" s="3" t="s">
        <v>106</v>
      </c>
      <c r="G7" s="3" t="s">
        <v>201</v>
      </c>
      <c r="H7" t="s">
        <v>9</v>
      </c>
      <c r="I7" t="s">
        <v>110</v>
      </c>
    </row>
    <row r="8" spans="1:9" x14ac:dyDescent="0.35">
      <c r="A8" s="9" t="b">
        <v>1</v>
      </c>
      <c r="B8" t="s">
        <v>17</v>
      </c>
      <c r="C8" s="3" t="s">
        <v>24</v>
      </c>
      <c r="D8" t="s">
        <v>109</v>
      </c>
      <c r="E8" s="5">
        <v>0.1</v>
      </c>
      <c r="F8" s="3" t="s">
        <v>106</v>
      </c>
      <c r="G8" s="3" t="s">
        <v>201</v>
      </c>
      <c r="H8" t="s">
        <v>9</v>
      </c>
      <c r="I8" t="s">
        <v>116</v>
      </c>
    </row>
    <row r="9" spans="1:9" x14ac:dyDescent="0.35">
      <c r="A9" s="9" t="b">
        <v>1</v>
      </c>
      <c r="B9" t="s">
        <v>112</v>
      </c>
      <c r="C9" s="3" t="s">
        <v>114</v>
      </c>
      <c r="D9" t="s">
        <v>12</v>
      </c>
      <c r="E9" s="5">
        <v>0.2</v>
      </c>
      <c r="F9" s="3" t="s">
        <v>106</v>
      </c>
      <c r="G9" s="3" t="s">
        <v>202</v>
      </c>
      <c r="H9" t="s">
        <v>115</v>
      </c>
      <c r="I9" t="s">
        <v>113</v>
      </c>
    </row>
    <row r="10" spans="1:9" x14ac:dyDescent="0.35">
      <c r="A10" s="9" t="b">
        <v>1</v>
      </c>
      <c r="B10" t="s">
        <v>296</v>
      </c>
      <c r="C10" s="3" t="s">
        <v>128</v>
      </c>
      <c r="D10" t="s">
        <v>109</v>
      </c>
      <c r="E10" s="5">
        <v>0.1</v>
      </c>
      <c r="F10" s="3" t="s">
        <v>128</v>
      </c>
      <c r="G10" s="3" t="s">
        <v>201</v>
      </c>
      <c r="H10" t="s">
        <v>9</v>
      </c>
      <c r="I10" t="s">
        <v>295</v>
      </c>
    </row>
    <row r="11" spans="1:9" x14ac:dyDescent="0.35">
      <c r="A11" s="9" t="b">
        <v>1</v>
      </c>
      <c r="B11" t="s">
        <v>322</v>
      </c>
      <c r="C11" s="3" t="s">
        <v>8</v>
      </c>
      <c r="D11" t="s">
        <v>109</v>
      </c>
      <c r="E11" s="5">
        <v>0.05</v>
      </c>
      <c r="F11" s="3" t="s">
        <v>106</v>
      </c>
      <c r="G11" s="3" t="s">
        <v>201</v>
      </c>
      <c r="H11" t="s">
        <v>9</v>
      </c>
      <c r="I11" t="s">
        <v>321</v>
      </c>
    </row>
    <row r="12" spans="1:9" x14ac:dyDescent="0.35">
      <c r="A12" s="9" t="b">
        <v>1</v>
      </c>
      <c r="B12" t="s">
        <v>345</v>
      </c>
      <c r="C12" s="3" t="s">
        <v>128</v>
      </c>
      <c r="D12" t="s">
        <v>346</v>
      </c>
      <c r="E12" s="5">
        <v>0.2</v>
      </c>
      <c r="F12" s="3" t="s">
        <v>128</v>
      </c>
      <c r="G12" s="3" t="s">
        <v>202</v>
      </c>
      <c r="H12" t="s">
        <v>115</v>
      </c>
      <c r="I12" t="s">
        <v>347</v>
      </c>
    </row>
    <row r="13" spans="1:9" x14ac:dyDescent="0.35">
      <c r="A13" s="9" t="b">
        <v>1</v>
      </c>
      <c r="B13" t="s">
        <v>11</v>
      </c>
      <c r="C13" s="3" t="s">
        <v>8</v>
      </c>
      <c r="D13" t="s">
        <v>6</v>
      </c>
      <c r="E13" s="5">
        <v>0.2</v>
      </c>
      <c r="F13" s="3" t="s">
        <v>106</v>
      </c>
      <c r="G13" s="3" t="s">
        <v>201</v>
      </c>
      <c r="H13" t="s">
        <v>9</v>
      </c>
      <c r="I13" t="s">
        <v>378</v>
      </c>
    </row>
    <row r="14" spans="1:9" x14ac:dyDescent="0.35">
      <c r="A14" s="9" t="b">
        <v>1</v>
      </c>
      <c r="B14" t="s">
        <v>402</v>
      </c>
      <c r="C14" s="3" t="s">
        <v>8</v>
      </c>
      <c r="D14" t="s">
        <v>109</v>
      </c>
      <c r="E14" s="5">
        <v>0.01</v>
      </c>
      <c r="F14" s="3" t="s">
        <v>106</v>
      </c>
      <c r="G14" s="3" t="s">
        <v>201</v>
      </c>
      <c r="H14" t="s">
        <v>9</v>
      </c>
      <c r="I14" t="s">
        <v>403</v>
      </c>
    </row>
    <row r="15" spans="1:9" x14ac:dyDescent="0.35">
      <c r="A15" s="9" t="b">
        <v>1</v>
      </c>
      <c r="B15" t="s">
        <v>426</v>
      </c>
      <c r="C15" s="3" t="s">
        <v>128</v>
      </c>
      <c r="D15" t="s">
        <v>109</v>
      </c>
      <c r="E15" s="5">
        <v>0.2</v>
      </c>
      <c r="F15" s="3" t="s">
        <v>128</v>
      </c>
      <c r="G15" s="3" t="s">
        <v>201</v>
      </c>
      <c r="H15" t="s">
        <v>9</v>
      </c>
      <c r="I15" t="s">
        <v>427</v>
      </c>
    </row>
    <row r="16" spans="1:9" x14ac:dyDescent="0.35">
      <c r="A16" s="9" t="b">
        <v>1</v>
      </c>
      <c r="B16" t="s">
        <v>430</v>
      </c>
      <c r="C16" s="3" t="s">
        <v>128</v>
      </c>
      <c r="D16" t="s">
        <v>346</v>
      </c>
      <c r="E16" s="5">
        <v>0.2</v>
      </c>
      <c r="F16" s="3" t="s">
        <v>128</v>
      </c>
      <c r="G16" s="3" t="s">
        <v>202</v>
      </c>
      <c r="H16" t="s">
        <v>115</v>
      </c>
      <c r="I16" t="s">
        <v>431</v>
      </c>
    </row>
    <row r="17" spans="1:9" x14ac:dyDescent="0.35">
      <c r="A17" s="9" t="b">
        <v>1</v>
      </c>
      <c r="B17" t="s">
        <v>5</v>
      </c>
      <c r="C17" s="3" t="s">
        <v>128</v>
      </c>
      <c r="D17" t="s">
        <v>109</v>
      </c>
      <c r="E17" s="5">
        <v>0.1</v>
      </c>
      <c r="F17" s="3" t="s">
        <v>128</v>
      </c>
      <c r="G17" s="3" t="s">
        <v>201</v>
      </c>
      <c r="H17" t="s">
        <v>9</v>
      </c>
      <c r="I17" t="s">
        <v>432</v>
      </c>
    </row>
    <row r="18" spans="1:9" x14ac:dyDescent="0.35">
      <c r="A18" s="9" t="b">
        <v>1</v>
      </c>
      <c r="B18" t="s">
        <v>11</v>
      </c>
      <c r="C18" s="3" t="s">
        <v>128</v>
      </c>
      <c r="D18" t="s">
        <v>433</v>
      </c>
      <c r="E18" s="5">
        <v>0.2</v>
      </c>
      <c r="F18" s="3" t="s">
        <v>128</v>
      </c>
      <c r="G18" s="3" t="s">
        <v>202</v>
      </c>
      <c r="H18" t="s">
        <v>115</v>
      </c>
      <c r="I18" t="s">
        <v>434</v>
      </c>
    </row>
    <row r="19" spans="1:9" x14ac:dyDescent="0.35">
      <c r="A19" s="9" t="b">
        <v>1</v>
      </c>
      <c r="B19" t="s">
        <v>459</v>
      </c>
      <c r="C19" s="3" t="s">
        <v>8</v>
      </c>
      <c r="D19" t="s">
        <v>109</v>
      </c>
      <c r="E19" s="5">
        <v>0.05</v>
      </c>
      <c r="F19" s="3" t="s">
        <v>106</v>
      </c>
      <c r="G19" s="3" t="s">
        <v>201</v>
      </c>
      <c r="H19" t="s">
        <v>9</v>
      </c>
      <c r="I19" t="s">
        <v>460</v>
      </c>
    </row>
    <row r="20" spans="1:9" x14ac:dyDescent="0.35">
      <c r="A20" s="9" t="b">
        <v>1</v>
      </c>
      <c r="B20" t="s">
        <v>296</v>
      </c>
      <c r="C20" s="3" t="s">
        <v>8</v>
      </c>
      <c r="D20" t="s">
        <v>18</v>
      </c>
      <c r="E20" s="5">
        <v>0.1</v>
      </c>
      <c r="F20" s="3" t="s">
        <v>106</v>
      </c>
      <c r="G20" s="3" t="s">
        <v>201</v>
      </c>
      <c r="H20" t="s">
        <v>9</v>
      </c>
      <c r="I20" t="s">
        <v>507</v>
      </c>
    </row>
    <row r="21" spans="1:9" x14ac:dyDescent="0.35">
      <c r="A21" s="9" t="b">
        <v>1</v>
      </c>
      <c r="B21" t="s">
        <v>508</v>
      </c>
      <c r="C21" s="3" t="s">
        <v>8</v>
      </c>
      <c r="D21" t="s">
        <v>109</v>
      </c>
      <c r="E21" s="5">
        <v>0.05</v>
      </c>
      <c r="F21" s="3" t="s">
        <v>106</v>
      </c>
      <c r="G21" s="3" t="s">
        <v>201</v>
      </c>
      <c r="H21" t="s">
        <v>9</v>
      </c>
      <c r="I21" t="s">
        <v>509</v>
      </c>
    </row>
    <row r="22" spans="1:9" x14ac:dyDescent="0.35">
      <c r="A22" s="9" t="b">
        <v>1</v>
      </c>
      <c r="B22" t="s">
        <v>510</v>
      </c>
      <c r="C22" s="3" t="s">
        <v>8</v>
      </c>
      <c r="D22" t="s">
        <v>109</v>
      </c>
      <c r="E22" s="5">
        <v>0.1</v>
      </c>
      <c r="F22" s="3" t="s">
        <v>106</v>
      </c>
      <c r="G22" s="3" t="s">
        <v>201</v>
      </c>
      <c r="H22" t="s">
        <v>9</v>
      </c>
      <c r="I22" t="s">
        <v>521</v>
      </c>
    </row>
    <row r="23" spans="1:9" x14ac:dyDescent="0.35">
      <c r="A23" s="9" t="b">
        <v>1</v>
      </c>
      <c r="B23" t="s">
        <v>519</v>
      </c>
      <c r="C23" s="3" t="s">
        <v>8</v>
      </c>
      <c r="D23" t="s">
        <v>109</v>
      </c>
      <c r="E23" s="5">
        <v>0.1</v>
      </c>
      <c r="F23" s="3" t="s">
        <v>106</v>
      </c>
      <c r="G23" s="3" t="s">
        <v>201</v>
      </c>
      <c r="H23" t="s">
        <v>9</v>
      </c>
      <c r="I23" t="s">
        <v>520</v>
      </c>
    </row>
    <row r="24" spans="1:9" x14ac:dyDescent="0.35">
      <c r="A24" s="9" t="b">
        <v>1</v>
      </c>
      <c r="B24" t="s">
        <v>112</v>
      </c>
      <c r="C24" s="3" t="s">
        <v>562</v>
      </c>
      <c r="D24" t="s">
        <v>346</v>
      </c>
      <c r="E24" s="5">
        <v>0.2</v>
      </c>
      <c r="F24" s="3" t="s">
        <v>106</v>
      </c>
      <c r="G24" s="3" t="s">
        <v>202</v>
      </c>
      <c r="H24" t="s">
        <v>115</v>
      </c>
      <c r="I24" t="s">
        <v>563</v>
      </c>
    </row>
    <row r="25" spans="1:9" x14ac:dyDescent="0.35">
      <c r="A25" s="9" t="b">
        <v>1</v>
      </c>
      <c r="B25" t="s">
        <v>571</v>
      </c>
      <c r="C25" s="3" t="s">
        <v>24</v>
      </c>
      <c r="D25" t="s">
        <v>18</v>
      </c>
      <c r="E25" s="5">
        <v>0.2</v>
      </c>
      <c r="F25" s="3" t="s">
        <v>106</v>
      </c>
      <c r="G25" s="3" t="s">
        <v>201</v>
      </c>
      <c r="H25" t="s">
        <v>9</v>
      </c>
      <c r="I25" t="s">
        <v>572</v>
      </c>
    </row>
    <row r="26" spans="1:9" x14ac:dyDescent="0.35">
      <c r="A26" s="9" t="b">
        <v>1</v>
      </c>
      <c r="B26" t="s">
        <v>108</v>
      </c>
      <c r="C26" s="3" t="s">
        <v>8</v>
      </c>
      <c r="D26" t="s">
        <v>18</v>
      </c>
      <c r="E26" s="5">
        <v>0.1</v>
      </c>
      <c r="F26" s="3" t="s">
        <v>106</v>
      </c>
      <c r="G26" s="3" t="s">
        <v>201</v>
      </c>
      <c r="H26" t="s">
        <v>9</v>
      </c>
      <c r="I26" t="s">
        <v>586</v>
      </c>
    </row>
    <row r="27" spans="1:9" x14ac:dyDescent="0.35">
      <c r="A27" s="9" t="b">
        <v>0</v>
      </c>
    </row>
    <row r="28" spans="1:9" x14ac:dyDescent="0.35">
      <c r="A28" s="9" t="b">
        <v>0</v>
      </c>
    </row>
    <row r="29" spans="1:9" x14ac:dyDescent="0.35">
      <c r="A29" s="9" t="b">
        <v>0</v>
      </c>
    </row>
    <row r="30" spans="1:9" x14ac:dyDescent="0.35">
      <c r="A30" s="9" t="b">
        <v>0</v>
      </c>
    </row>
    <row r="31" spans="1:9" x14ac:dyDescent="0.35">
      <c r="A31" s="9" t="b">
        <v>0</v>
      </c>
    </row>
    <row r="32" spans="1:9" x14ac:dyDescent="0.35">
      <c r="A32" s="9" t="b">
        <v>0</v>
      </c>
    </row>
    <row r="33" spans="1:1" x14ac:dyDescent="0.35">
      <c r="A33" s="9" t="b">
        <v>0</v>
      </c>
    </row>
    <row r="34" spans="1:1" x14ac:dyDescent="0.35">
      <c r="A34" s="9" t="b">
        <v>0</v>
      </c>
    </row>
    <row r="35" spans="1:1" x14ac:dyDescent="0.35">
      <c r="A35" s="9" t="b">
        <v>0</v>
      </c>
    </row>
    <row r="36" spans="1:1" x14ac:dyDescent="0.35">
      <c r="A36" s="9" t="b">
        <v>0</v>
      </c>
    </row>
    <row r="37" spans="1:1" x14ac:dyDescent="0.35">
      <c r="A37" s="9" t="b">
        <v>0</v>
      </c>
    </row>
    <row r="38" spans="1:1" x14ac:dyDescent="0.35">
      <c r="A38" s="9" t="b">
        <v>0</v>
      </c>
    </row>
    <row r="39" spans="1:1" x14ac:dyDescent="0.35">
      <c r="A39" s="9" t="b">
        <v>0</v>
      </c>
    </row>
    <row r="40" spans="1:1" x14ac:dyDescent="0.35">
      <c r="A40" s="9" t="b">
        <v>0</v>
      </c>
    </row>
    <row r="41" spans="1:1" x14ac:dyDescent="0.35">
      <c r="A41" s="9" t="b">
        <v>0</v>
      </c>
    </row>
    <row r="42" spans="1:1" x14ac:dyDescent="0.35">
      <c r="A42" s="9" t="b">
        <v>0</v>
      </c>
    </row>
    <row r="43" spans="1:1" x14ac:dyDescent="0.35">
      <c r="A43" s="9" t="b">
        <v>0</v>
      </c>
    </row>
    <row r="44" spans="1:1" x14ac:dyDescent="0.35">
      <c r="A44" s="9" t="b">
        <v>0</v>
      </c>
    </row>
    <row r="45" spans="1:1" x14ac:dyDescent="0.35">
      <c r="A45" s="9" t="b">
        <v>0</v>
      </c>
    </row>
    <row r="46" spans="1:1" x14ac:dyDescent="0.35">
      <c r="A46" s="9" t="b">
        <v>0</v>
      </c>
    </row>
    <row r="47" spans="1:1" x14ac:dyDescent="0.35">
      <c r="A47" s="9" t="b">
        <v>0</v>
      </c>
    </row>
    <row r="48" spans="1:1" x14ac:dyDescent="0.35">
      <c r="A48" s="9" t="b">
        <v>0</v>
      </c>
    </row>
    <row r="49" spans="1:1" x14ac:dyDescent="0.35">
      <c r="A49" s="9" t="b">
        <v>0</v>
      </c>
    </row>
    <row r="50" spans="1:1" ht="14" customHeight="1" x14ac:dyDescent="0.35">
      <c r="A5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1:XDX50"/>
  <sheetViews>
    <sheetView topLeftCell="A28" zoomScale="89" zoomScaleNormal="130" workbookViewId="0">
      <selection activeCell="A46" sqref="A46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8.453125" style="11" customWidth="1"/>
    <col min="4" max="4" width="18" style="3" customWidth="1"/>
    <col min="5" max="5" width="16.54296875" style="3" customWidth="1"/>
    <col min="6" max="6" width="17" style="3" customWidth="1"/>
    <col min="7" max="7" width="12.453125" style="3" customWidth="1"/>
    <col min="8" max="8" width="37.54296875" style="3" customWidth="1"/>
    <col min="9" max="16340" width="8.7265625" style="3" hidden="1"/>
    <col min="16341" max="16341" width="0" style="3" hidden="1"/>
    <col min="16342" max="16350" width="8.7265625" style="3" hidden="1"/>
    <col min="16351" max="16352" width="0" style="3" hidden="1"/>
    <col min="16353" max="16384" width="8.7265625" style="3" hidden="1"/>
  </cols>
  <sheetData>
    <row r="1" spans="1:8" x14ac:dyDescent="0.35">
      <c r="A1" s="3" t="s">
        <v>200</v>
      </c>
      <c r="B1" s="3" t="s">
        <v>152</v>
      </c>
      <c r="C1" s="12" t="s">
        <v>243</v>
      </c>
      <c r="D1" s="3" t="s">
        <v>156</v>
      </c>
      <c r="E1" s="3" t="s">
        <v>2</v>
      </c>
      <c r="F1" s="3" t="s">
        <v>161</v>
      </c>
      <c r="G1" s="3" t="s">
        <v>211</v>
      </c>
      <c r="H1" s="3" t="s">
        <v>32</v>
      </c>
    </row>
    <row r="2" spans="1:8" x14ac:dyDescent="0.35">
      <c r="A2" s="10" t="b">
        <v>1</v>
      </c>
      <c r="B2" s="3" t="s">
        <v>204</v>
      </c>
      <c r="C2" s="12">
        <v>2</v>
      </c>
      <c r="D2" s="3" t="s">
        <v>158</v>
      </c>
      <c r="E2" s="3" t="s">
        <v>205</v>
      </c>
      <c r="H2" s="3" t="s">
        <v>206</v>
      </c>
    </row>
    <row r="3" spans="1:8" x14ac:dyDescent="0.35">
      <c r="A3" s="10" t="b">
        <v>1</v>
      </c>
      <c r="B3" s="3" t="s">
        <v>398</v>
      </c>
      <c r="C3" s="12">
        <v>2</v>
      </c>
      <c r="D3" s="3" t="s">
        <v>334</v>
      </c>
      <c r="E3" s="3" t="s">
        <v>399</v>
      </c>
      <c r="G3" s="3" t="s">
        <v>401</v>
      </c>
      <c r="H3" s="3" t="s">
        <v>400</v>
      </c>
    </row>
    <row r="4" spans="1:8" x14ac:dyDescent="0.35">
      <c r="A4" s="10" t="b">
        <v>1</v>
      </c>
      <c r="B4" s="3" t="s">
        <v>240</v>
      </c>
      <c r="C4" s="12">
        <v>9</v>
      </c>
      <c r="D4" s="3" t="s">
        <v>157</v>
      </c>
      <c r="E4" s="3" t="s">
        <v>241</v>
      </c>
      <c r="G4" s="3" t="s">
        <v>244</v>
      </c>
      <c r="H4" s="3" t="s">
        <v>242</v>
      </c>
    </row>
    <row r="5" spans="1:8" x14ac:dyDescent="0.35">
      <c r="A5" s="10" t="b">
        <v>1</v>
      </c>
      <c r="B5" s="3" t="s">
        <v>207</v>
      </c>
      <c r="C5" s="12">
        <v>2</v>
      </c>
      <c r="D5" s="3" t="s">
        <v>159</v>
      </c>
    </row>
    <row r="6" spans="1:8" x14ac:dyDescent="0.35">
      <c r="A6" s="10" t="b">
        <v>1</v>
      </c>
      <c r="B6" s="3" t="s">
        <v>207</v>
      </c>
      <c r="C6" s="12">
        <v>3</v>
      </c>
      <c r="D6" s="3" t="s">
        <v>159</v>
      </c>
    </row>
    <row r="7" spans="1:8" x14ac:dyDescent="0.35">
      <c r="A7" s="10" t="b">
        <v>1</v>
      </c>
      <c r="B7" s="3" t="s">
        <v>207</v>
      </c>
      <c r="C7" s="12">
        <v>4</v>
      </c>
      <c r="D7" s="3" t="s">
        <v>159</v>
      </c>
    </row>
    <row r="8" spans="1:8" x14ac:dyDescent="0.35">
      <c r="A8" s="10" t="b">
        <v>1</v>
      </c>
      <c r="B8" s="3" t="s">
        <v>207</v>
      </c>
      <c r="C8" s="12">
        <v>5</v>
      </c>
      <c r="D8" s="3" t="s">
        <v>333</v>
      </c>
    </row>
    <row r="9" spans="1:8" x14ac:dyDescent="0.35">
      <c r="A9" s="10" t="b">
        <v>1</v>
      </c>
      <c r="B9" s="3" t="s">
        <v>207</v>
      </c>
      <c r="C9" s="12">
        <v>6</v>
      </c>
      <c r="D9" s="3" t="s">
        <v>333</v>
      </c>
    </row>
    <row r="10" spans="1:8" x14ac:dyDescent="0.35">
      <c r="A10" s="10" t="b">
        <v>1</v>
      </c>
      <c r="B10" s="3" t="s">
        <v>207</v>
      </c>
      <c r="C10" s="12">
        <v>8</v>
      </c>
      <c r="D10" s="3" t="s">
        <v>333</v>
      </c>
    </row>
    <row r="11" spans="1:8" x14ac:dyDescent="0.35">
      <c r="A11" s="10" t="b">
        <v>1</v>
      </c>
      <c r="B11" s="3" t="s">
        <v>207</v>
      </c>
      <c r="C11" s="12">
        <v>10</v>
      </c>
      <c r="D11" s="3" t="s">
        <v>159</v>
      </c>
    </row>
    <row r="12" spans="1:8" x14ac:dyDescent="0.35">
      <c r="A12" s="10" t="b">
        <v>1</v>
      </c>
      <c r="B12" s="3" t="s">
        <v>207</v>
      </c>
      <c r="C12" s="12">
        <v>24</v>
      </c>
      <c r="D12" s="3" t="s">
        <v>333</v>
      </c>
    </row>
    <row r="13" spans="1:8" x14ac:dyDescent="0.35">
      <c r="A13" s="10" t="b">
        <v>1</v>
      </c>
      <c r="B13" s="3" t="s">
        <v>207</v>
      </c>
      <c r="C13" s="12">
        <v>26</v>
      </c>
      <c r="D13" s="3" t="s">
        <v>333</v>
      </c>
    </row>
    <row r="14" spans="1:8" x14ac:dyDescent="0.35">
      <c r="A14" s="10" t="b">
        <v>1</v>
      </c>
      <c r="B14" s="3" t="s">
        <v>515</v>
      </c>
      <c r="C14" s="12">
        <v>3</v>
      </c>
      <c r="D14" s="3" t="s">
        <v>334</v>
      </c>
      <c r="E14" s="3" t="s">
        <v>516</v>
      </c>
      <c r="G14" s="3" t="s">
        <v>518</v>
      </c>
      <c r="H14" s="3" t="s">
        <v>517</v>
      </c>
    </row>
    <row r="15" spans="1:8" x14ac:dyDescent="0.35">
      <c r="A15" s="10" t="b">
        <v>1</v>
      </c>
      <c r="B15" s="3" t="s">
        <v>499</v>
      </c>
      <c r="C15" s="12">
        <v>1</v>
      </c>
      <c r="D15" s="3" t="s">
        <v>205</v>
      </c>
      <c r="E15" s="3" t="s">
        <v>500</v>
      </c>
      <c r="H15" s="3" t="s">
        <v>501</v>
      </c>
    </row>
    <row r="16" spans="1:8" x14ac:dyDescent="0.35">
      <c r="A16" s="10" t="b">
        <v>1</v>
      </c>
      <c r="B16" s="3" t="s">
        <v>499</v>
      </c>
      <c r="C16" s="12">
        <v>1</v>
      </c>
      <c r="D16" s="3" t="s">
        <v>205</v>
      </c>
      <c r="E16" s="3" t="s">
        <v>502</v>
      </c>
      <c r="H16" s="3" t="s">
        <v>503</v>
      </c>
    </row>
    <row r="17" spans="1:8" x14ac:dyDescent="0.35">
      <c r="A17" s="10" t="b">
        <v>1</v>
      </c>
      <c r="B17" s="3" t="s">
        <v>446</v>
      </c>
      <c r="C17" s="12">
        <v>12</v>
      </c>
      <c r="D17" s="3" t="s">
        <v>334</v>
      </c>
      <c r="E17" s="3" t="s">
        <v>447</v>
      </c>
      <c r="F17" s="3" t="s">
        <v>452</v>
      </c>
      <c r="G17" s="3" t="s">
        <v>448</v>
      </c>
      <c r="H17" s="3" t="s">
        <v>450</v>
      </c>
    </row>
    <row r="18" spans="1:8" x14ac:dyDescent="0.35">
      <c r="A18" s="10" t="b">
        <v>1</v>
      </c>
      <c r="B18" s="3" t="s">
        <v>446</v>
      </c>
      <c r="C18" s="12">
        <v>12</v>
      </c>
      <c r="D18" s="3" t="s">
        <v>333</v>
      </c>
      <c r="E18" s="3" t="s">
        <v>452</v>
      </c>
      <c r="F18" s="3" t="s">
        <v>447</v>
      </c>
      <c r="G18" s="3" t="s">
        <v>451</v>
      </c>
      <c r="H18" s="3" t="s">
        <v>449</v>
      </c>
    </row>
    <row r="19" spans="1:8" x14ac:dyDescent="0.35">
      <c r="A19" s="10" t="b">
        <v>1</v>
      </c>
      <c r="B19" s="3" t="s">
        <v>446</v>
      </c>
      <c r="C19" s="12">
        <v>20</v>
      </c>
      <c r="D19" s="3" t="s">
        <v>334</v>
      </c>
      <c r="E19" s="3" t="s">
        <v>465</v>
      </c>
      <c r="F19" s="3" t="s">
        <v>464</v>
      </c>
    </row>
    <row r="20" spans="1:8" x14ac:dyDescent="0.35">
      <c r="A20" s="10" t="b">
        <v>1</v>
      </c>
      <c r="B20" s="3" t="s">
        <v>446</v>
      </c>
      <c r="C20" s="12">
        <v>20</v>
      </c>
      <c r="D20" s="3" t="s">
        <v>333</v>
      </c>
      <c r="E20" s="3" t="s">
        <v>464</v>
      </c>
      <c r="F20" s="3" t="s">
        <v>465</v>
      </c>
      <c r="G20" s="3" t="s">
        <v>466</v>
      </c>
    </row>
    <row r="21" spans="1:8" x14ac:dyDescent="0.35">
      <c r="A21" s="10" t="b">
        <v>1</v>
      </c>
      <c r="B21" s="3" t="s">
        <v>446</v>
      </c>
      <c r="C21" s="12">
        <v>30</v>
      </c>
      <c r="D21" s="3" t="s">
        <v>334</v>
      </c>
      <c r="E21" s="3" t="s">
        <v>479</v>
      </c>
      <c r="F21" s="3" t="s">
        <v>480</v>
      </c>
      <c r="H21" s="3" t="s">
        <v>482</v>
      </c>
    </row>
    <row r="22" spans="1:8" x14ac:dyDescent="0.35">
      <c r="A22" s="10" t="b">
        <v>1</v>
      </c>
      <c r="B22" s="3" t="s">
        <v>446</v>
      </c>
      <c r="C22" s="12">
        <v>30</v>
      </c>
      <c r="D22" s="3" t="s">
        <v>333</v>
      </c>
      <c r="E22" s="3" t="s">
        <v>480</v>
      </c>
      <c r="F22" s="3" t="s">
        <v>479</v>
      </c>
      <c r="G22" s="3" t="s">
        <v>466</v>
      </c>
      <c r="H22" s="3" t="s">
        <v>481</v>
      </c>
    </row>
    <row r="23" spans="1:8" x14ac:dyDescent="0.35">
      <c r="A23" s="10" t="b">
        <v>1</v>
      </c>
      <c r="B23" s="3" t="s">
        <v>155</v>
      </c>
      <c r="C23" s="12">
        <v>2</v>
      </c>
      <c r="D23" s="3" t="s">
        <v>334</v>
      </c>
      <c r="E23" s="3" t="s">
        <v>40</v>
      </c>
      <c r="F23" s="3" t="s">
        <v>160</v>
      </c>
      <c r="H23" s="3" t="s">
        <v>41</v>
      </c>
    </row>
    <row r="24" spans="1:8" x14ac:dyDescent="0.35">
      <c r="A24" s="10" t="b">
        <v>1</v>
      </c>
      <c r="B24" s="3" t="s">
        <v>155</v>
      </c>
      <c r="C24" s="12">
        <v>3</v>
      </c>
      <c r="D24" s="3" t="s">
        <v>334</v>
      </c>
      <c r="E24" s="3" t="s">
        <v>39</v>
      </c>
      <c r="F24" s="3" t="s">
        <v>178</v>
      </c>
      <c r="H24" s="3" t="s">
        <v>38</v>
      </c>
    </row>
    <row r="25" spans="1:8" x14ac:dyDescent="0.35">
      <c r="A25" s="10" t="b">
        <v>1</v>
      </c>
      <c r="B25" s="3" t="s">
        <v>155</v>
      </c>
      <c r="C25" s="12">
        <v>4</v>
      </c>
      <c r="D25" s="3" t="s">
        <v>334</v>
      </c>
      <c r="E25" s="3" t="s">
        <v>210</v>
      </c>
      <c r="F25" s="3" t="s">
        <v>209</v>
      </c>
    </row>
    <row r="26" spans="1:8" x14ac:dyDescent="0.35">
      <c r="A26" s="10" t="b">
        <v>1</v>
      </c>
      <c r="B26" s="3" t="s">
        <v>155</v>
      </c>
      <c r="C26" s="12">
        <v>6</v>
      </c>
      <c r="D26" s="3" t="s">
        <v>334</v>
      </c>
      <c r="E26" s="3" t="s">
        <v>42</v>
      </c>
      <c r="H26" s="3" t="s">
        <v>43</v>
      </c>
    </row>
    <row r="27" spans="1:8" x14ac:dyDescent="0.35">
      <c r="A27" s="10" t="b">
        <v>1</v>
      </c>
      <c r="B27" s="3" t="s">
        <v>208</v>
      </c>
      <c r="C27" s="12">
        <v>10</v>
      </c>
      <c r="D27" s="3" t="s">
        <v>334</v>
      </c>
      <c r="E27" s="3" t="s">
        <v>37</v>
      </c>
      <c r="H27" s="3" t="s">
        <v>36</v>
      </c>
    </row>
    <row r="28" spans="1:8" x14ac:dyDescent="0.35">
      <c r="A28" s="10" t="b">
        <v>1</v>
      </c>
      <c r="B28" s="3" t="s">
        <v>208</v>
      </c>
      <c r="C28" s="12">
        <v>16</v>
      </c>
      <c r="D28" s="3" t="s">
        <v>334</v>
      </c>
      <c r="E28" s="3" t="s">
        <v>168</v>
      </c>
      <c r="F28" s="3" t="s">
        <v>168</v>
      </c>
      <c r="H28" s="3" t="s">
        <v>169</v>
      </c>
    </row>
    <row r="29" spans="1:8" x14ac:dyDescent="0.35">
      <c r="A29" s="10" t="b">
        <v>1</v>
      </c>
      <c r="B29" s="3" t="s">
        <v>208</v>
      </c>
      <c r="C29" s="12">
        <v>16</v>
      </c>
      <c r="D29" s="3" t="s">
        <v>334</v>
      </c>
      <c r="E29" s="3" t="s">
        <v>445</v>
      </c>
    </row>
    <row r="30" spans="1:8" x14ac:dyDescent="0.35">
      <c r="A30" s="10" t="b">
        <v>1</v>
      </c>
      <c r="B30" s="3" t="s">
        <v>153</v>
      </c>
      <c r="C30" s="12">
        <v>2</v>
      </c>
      <c r="D30" s="3" t="s">
        <v>334</v>
      </c>
      <c r="E30" s="3" t="s">
        <v>151</v>
      </c>
      <c r="H30" s="3" t="s">
        <v>98</v>
      </c>
    </row>
    <row r="31" spans="1:8" x14ac:dyDescent="0.35">
      <c r="A31" s="10" t="b">
        <v>1</v>
      </c>
      <c r="B31" s="3" t="s">
        <v>153</v>
      </c>
      <c r="C31" s="12">
        <v>3</v>
      </c>
      <c r="D31" s="3" t="s">
        <v>334</v>
      </c>
      <c r="E31" s="3" t="s">
        <v>97</v>
      </c>
      <c r="H31" s="3" t="s">
        <v>98</v>
      </c>
    </row>
    <row r="32" spans="1:8" x14ac:dyDescent="0.35">
      <c r="A32" s="10" t="b">
        <v>1</v>
      </c>
      <c r="B32" s="3" t="s">
        <v>153</v>
      </c>
      <c r="C32" s="12">
        <v>4</v>
      </c>
      <c r="D32" s="3" t="s">
        <v>334</v>
      </c>
      <c r="E32" s="3" t="s">
        <v>350</v>
      </c>
      <c r="H32" s="3" t="s">
        <v>351</v>
      </c>
    </row>
    <row r="33" spans="1:8" x14ac:dyDescent="0.35">
      <c r="A33" s="10" t="b">
        <v>1</v>
      </c>
      <c r="B33" s="3" t="s">
        <v>153</v>
      </c>
      <c r="C33" s="12">
        <v>5</v>
      </c>
      <c r="D33" s="3" t="s">
        <v>334</v>
      </c>
      <c r="E33" s="3" t="s">
        <v>348</v>
      </c>
      <c r="H33" s="3" t="s">
        <v>349</v>
      </c>
    </row>
    <row r="34" spans="1:8" x14ac:dyDescent="0.35">
      <c r="A34" s="10" t="b">
        <v>1</v>
      </c>
      <c r="B34" s="3" t="s">
        <v>153</v>
      </c>
      <c r="C34" s="12">
        <v>6</v>
      </c>
      <c r="D34" s="3" t="s">
        <v>334</v>
      </c>
      <c r="E34" s="3" t="s">
        <v>352</v>
      </c>
      <c r="H34" s="3" t="s">
        <v>353</v>
      </c>
    </row>
    <row r="35" spans="1:8" x14ac:dyDescent="0.35">
      <c r="A35" s="10" t="b">
        <v>1</v>
      </c>
      <c r="B35" s="3" t="s">
        <v>153</v>
      </c>
      <c r="C35" s="12">
        <v>10</v>
      </c>
      <c r="D35" s="3" t="s">
        <v>334</v>
      </c>
    </row>
    <row r="36" spans="1:8" x14ac:dyDescent="0.35">
      <c r="A36" s="10" t="b">
        <v>1</v>
      </c>
      <c r="B36" s="3" t="s">
        <v>153</v>
      </c>
      <c r="C36" s="12">
        <v>10</v>
      </c>
      <c r="D36" s="3" t="s">
        <v>334</v>
      </c>
      <c r="E36" s="3" t="s">
        <v>354</v>
      </c>
      <c r="H36" s="3" t="s">
        <v>355</v>
      </c>
    </row>
    <row r="37" spans="1:8" x14ac:dyDescent="0.35">
      <c r="A37" s="10" t="b">
        <v>1</v>
      </c>
      <c r="B37" s="3" t="s">
        <v>411</v>
      </c>
      <c r="C37" s="12">
        <v>2</v>
      </c>
      <c r="D37" s="3" t="s">
        <v>334</v>
      </c>
      <c r="E37" s="3" t="s">
        <v>410</v>
      </c>
      <c r="G37" s="3" t="s">
        <v>413</v>
      </c>
      <c r="H37" s="3" t="s">
        <v>412</v>
      </c>
    </row>
    <row r="38" spans="1:8" x14ac:dyDescent="0.35">
      <c r="A38" s="10" t="b">
        <v>1</v>
      </c>
      <c r="B38" s="3" t="s">
        <v>411</v>
      </c>
      <c r="C38" s="12">
        <v>3</v>
      </c>
      <c r="D38" s="3" t="s">
        <v>334</v>
      </c>
      <c r="E38" s="3" t="s">
        <v>555</v>
      </c>
      <c r="G38" s="3" t="s">
        <v>413</v>
      </c>
      <c r="H38" s="3" t="s">
        <v>556</v>
      </c>
    </row>
    <row r="39" spans="1:8" x14ac:dyDescent="0.35">
      <c r="A39" s="10" t="b">
        <v>1</v>
      </c>
      <c r="B39" s="3" t="s">
        <v>411</v>
      </c>
      <c r="C39" s="12">
        <v>4</v>
      </c>
      <c r="D39" s="3" t="s">
        <v>334</v>
      </c>
      <c r="E39" s="3" t="s">
        <v>420</v>
      </c>
      <c r="G39" s="3" t="s">
        <v>413</v>
      </c>
      <c r="H39" s="3" t="s">
        <v>421</v>
      </c>
    </row>
    <row r="40" spans="1:8" x14ac:dyDescent="0.35">
      <c r="A40" s="10" t="b">
        <v>1</v>
      </c>
      <c r="B40" s="3" t="s">
        <v>332</v>
      </c>
      <c r="C40" s="12">
        <v>4</v>
      </c>
      <c r="D40" s="3" t="s">
        <v>334</v>
      </c>
      <c r="E40" s="3" t="s">
        <v>335</v>
      </c>
      <c r="G40" s="3" t="s">
        <v>336</v>
      </c>
      <c r="H40" s="3" t="s">
        <v>337</v>
      </c>
    </row>
    <row r="41" spans="1:8" x14ac:dyDescent="0.35">
      <c r="A41" s="10" t="b">
        <v>1</v>
      </c>
      <c r="B41" s="3" t="s">
        <v>338</v>
      </c>
      <c r="C41" s="12">
        <v>8</v>
      </c>
      <c r="D41" s="3" t="s">
        <v>334</v>
      </c>
      <c r="E41" s="3" t="s">
        <v>404</v>
      </c>
      <c r="G41" s="3" t="s">
        <v>336</v>
      </c>
      <c r="H41" s="3" t="s">
        <v>405</v>
      </c>
    </row>
    <row r="42" spans="1:8" x14ac:dyDescent="0.35">
      <c r="A42" s="10" t="b">
        <v>1</v>
      </c>
      <c r="B42" s="3" t="s">
        <v>268</v>
      </c>
      <c r="C42" s="12">
        <v>4</v>
      </c>
      <c r="D42" s="3" t="s">
        <v>334</v>
      </c>
      <c r="E42" s="3" t="s">
        <v>269</v>
      </c>
      <c r="G42" s="3" t="s">
        <v>336</v>
      </c>
      <c r="H42" s="3" t="s">
        <v>270</v>
      </c>
    </row>
    <row r="43" spans="1:8" x14ac:dyDescent="0.35">
      <c r="A43" s="10" t="b">
        <v>1</v>
      </c>
      <c r="B43" s="3" t="s">
        <v>483</v>
      </c>
      <c r="C43" s="12">
        <v>5</v>
      </c>
      <c r="D43" s="3" t="s">
        <v>334</v>
      </c>
      <c r="E43" s="3" t="s">
        <v>484</v>
      </c>
      <c r="H43" s="3" t="s">
        <v>485</v>
      </c>
    </row>
    <row r="44" spans="1:8" x14ac:dyDescent="0.35">
      <c r="A44" s="10" t="b">
        <v>1</v>
      </c>
      <c r="B44" s="3" t="s">
        <v>154</v>
      </c>
      <c r="C44" s="12"/>
      <c r="D44" s="3" t="s">
        <v>334</v>
      </c>
      <c r="E44" s="3" t="s">
        <v>95</v>
      </c>
      <c r="G44" s="3" t="s">
        <v>245</v>
      </c>
      <c r="H44" s="3" t="s">
        <v>96</v>
      </c>
    </row>
    <row r="45" spans="1:8" x14ac:dyDescent="0.35">
      <c r="A45" s="10" t="b">
        <v>1</v>
      </c>
      <c r="B45" s="3" t="s">
        <v>515</v>
      </c>
      <c r="C45" s="12">
        <v>5</v>
      </c>
      <c r="D45" s="3" t="s">
        <v>334</v>
      </c>
      <c r="G45" s="3" t="s">
        <v>561</v>
      </c>
    </row>
    <row r="46" spans="1:8" x14ac:dyDescent="0.35">
      <c r="A46" s="10" t="b">
        <v>1</v>
      </c>
      <c r="B46" s="3" t="s">
        <v>411</v>
      </c>
      <c r="C46" s="12">
        <v>3</v>
      </c>
      <c r="D46" s="3" t="s">
        <v>334</v>
      </c>
      <c r="E46" s="3" t="s">
        <v>580</v>
      </c>
      <c r="G46" s="3" t="s">
        <v>581</v>
      </c>
      <c r="H46" s="3" t="s">
        <v>582</v>
      </c>
    </row>
    <row r="47" spans="1:8" x14ac:dyDescent="0.35">
      <c r="A47" s="10" t="b">
        <v>0</v>
      </c>
      <c r="C47" s="12"/>
    </row>
    <row r="48" spans="1:8" x14ac:dyDescent="0.35">
      <c r="A48" s="10" t="b">
        <v>0</v>
      </c>
      <c r="C48" s="12"/>
    </row>
    <row r="49" spans="1:3" x14ac:dyDescent="0.35">
      <c r="A49" s="10" t="b">
        <v>0</v>
      </c>
      <c r="C49" s="12"/>
    </row>
    <row r="50" spans="1:3" x14ac:dyDescent="0.35">
      <c r="A50" s="10" t="b">
        <v>0</v>
      </c>
      <c r="C50" s="1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A4" sqref="A4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200</v>
      </c>
      <c r="B1" t="s">
        <v>99</v>
      </c>
      <c r="C1" t="s">
        <v>86</v>
      </c>
      <c r="D1" t="s">
        <v>100</v>
      </c>
      <c r="E1" t="s">
        <v>105</v>
      </c>
      <c r="F1" t="s">
        <v>2</v>
      </c>
      <c r="G1" t="s">
        <v>32</v>
      </c>
    </row>
    <row r="2" spans="1:7" x14ac:dyDescent="0.35">
      <c r="A2" s="9" t="b">
        <v>1</v>
      </c>
      <c r="B2" t="s">
        <v>101</v>
      </c>
      <c r="C2" t="s">
        <v>102</v>
      </c>
      <c r="D2" t="s">
        <v>103</v>
      </c>
      <c r="E2" t="s">
        <v>106</v>
      </c>
      <c r="F2" t="s">
        <v>104</v>
      </c>
      <c r="G2" t="s">
        <v>107</v>
      </c>
    </row>
    <row r="3" spans="1:7" x14ac:dyDescent="0.35">
      <c r="A3" s="9" t="b">
        <v>1</v>
      </c>
      <c r="B3" t="s">
        <v>101</v>
      </c>
      <c r="C3" t="s">
        <v>164</v>
      </c>
      <c r="D3" t="s">
        <v>162</v>
      </c>
      <c r="E3" t="s">
        <v>106</v>
      </c>
      <c r="F3" t="s">
        <v>165</v>
      </c>
      <c r="G3" t="s">
        <v>163</v>
      </c>
    </row>
    <row r="4" spans="1:7" x14ac:dyDescent="0.35">
      <c r="A4" s="9" t="b">
        <v>1</v>
      </c>
      <c r="B4" t="s">
        <v>554</v>
      </c>
      <c r="C4" t="s">
        <v>102</v>
      </c>
      <c r="D4" t="s">
        <v>553</v>
      </c>
      <c r="E4" t="s">
        <v>106</v>
      </c>
      <c r="F4" t="s">
        <v>551</v>
      </c>
      <c r="G4" t="s">
        <v>552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G20"/>
  <sheetViews>
    <sheetView workbookViewId="0">
      <selection activeCell="C14" sqref="C14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4.6328125" customWidth="1"/>
    <col min="6" max="6" width="19.54296875" customWidth="1"/>
    <col min="7" max="7" width="31.54296875" customWidth="1"/>
    <col min="8" max="16384" width="8.7265625" hidden="1"/>
  </cols>
  <sheetData>
    <row r="1" spans="1:7" s="6" customFormat="1" x14ac:dyDescent="0.35">
      <c r="A1" s="6" t="s">
        <v>200</v>
      </c>
      <c r="B1" s="6" t="s">
        <v>86</v>
      </c>
      <c r="C1" s="6" t="s">
        <v>121</v>
      </c>
      <c r="D1" s="6" t="s">
        <v>117</v>
      </c>
      <c r="E1" s="6" t="s">
        <v>118</v>
      </c>
      <c r="F1" s="6" t="s">
        <v>2</v>
      </c>
      <c r="G1" s="6" t="s">
        <v>32</v>
      </c>
    </row>
    <row r="2" spans="1:7" x14ac:dyDescent="0.35">
      <c r="A2" s="9" t="b">
        <v>1</v>
      </c>
      <c r="B2" t="s">
        <v>119</v>
      </c>
      <c r="C2" t="s">
        <v>120</v>
      </c>
      <c r="D2" t="s">
        <v>122</v>
      </c>
      <c r="E2" t="s">
        <v>123</v>
      </c>
      <c r="F2" t="s">
        <v>124</v>
      </c>
    </row>
    <row r="3" spans="1:7" x14ac:dyDescent="0.35">
      <c r="A3" s="9" t="b">
        <v>1</v>
      </c>
      <c r="B3" t="s">
        <v>172</v>
      </c>
      <c r="C3" t="s">
        <v>173</v>
      </c>
      <c r="D3" t="s">
        <v>174</v>
      </c>
      <c r="E3" t="s">
        <v>175</v>
      </c>
      <c r="F3" t="s">
        <v>176</v>
      </c>
      <c r="G3" t="s">
        <v>177</v>
      </c>
    </row>
    <row r="4" spans="1:7" x14ac:dyDescent="0.35">
      <c r="A4" s="9" t="b">
        <v>1</v>
      </c>
      <c r="B4" t="s">
        <v>119</v>
      </c>
      <c r="C4" t="s">
        <v>120</v>
      </c>
      <c r="D4" t="s">
        <v>174</v>
      </c>
      <c r="E4" t="s">
        <v>467</v>
      </c>
      <c r="F4" t="s">
        <v>468</v>
      </c>
      <c r="G4" t="s">
        <v>469</v>
      </c>
    </row>
    <row r="5" spans="1:7" x14ac:dyDescent="0.35">
      <c r="A5" s="9" t="b">
        <v>1</v>
      </c>
      <c r="B5" t="s">
        <v>470</v>
      </c>
      <c r="C5" t="s">
        <v>471</v>
      </c>
      <c r="D5" t="s">
        <v>472</v>
      </c>
      <c r="E5" t="s">
        <v>473</v>
      </c>
      <c r="F5" t="s">
        <v>474</v>
      </c>
      <c r="G5" t="s">
        <v>475</v>
      </c>
    </row>
    <row r="6" spans="1:7" x14ac:dyDescent="0.35">
      <c r="A6" s="9" t="b">
        <v>1</v>
      </c>
      <c r="B6" t="s">
        <v>527</v>
      </c>
      <c r="C6" t="s">
        <v>528</v>
      </c>
      <c r="D6" t="s">
        <v>529</v>
      </c>
      <c r="E6" t="s">
        <v>175</v>
      </c>
      <c r="F6" t="s">
        <v>530</v>
      </c>
      <c r="G6" t="s">
        <v>531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1E30-EE7D-41F0-A52A-2E2ED23F3E7D}">
  <dimension ref="A1:I50"/>
  <sheetViews>
    <sheetView zoomScale="90" workbookViewId="0">
      <selection activeCell="E7" sqref="E7"/>
    </sheetView>
  </sheetViews>
  <sheetFormatPr defaultColWidth="0" defaultRowHeight="14.5" customHeight="1" zeroHeight="1" x14ac:dyDescent="0.35"/>
  <cols>
    <col min="1" max="3" width="17.08984375" customWidth="1"/>
    <col min="4" max="4" width="15.7265625" customWidth="1"/>
    <col min="5" max="5" width="19.54296875" customWidth="1"/>
    <col min="6" max="6" width="31.54296875" customWidth="1"/>
    <col min="7" max="8" width="8.7265625" hidden="1" customWidth="1"/>
    <col min="9" max="9" width="0" hidden="1" customWidth="1"/>
    <col min="10" max="16384" width="8.7265625" hidden="1"/>
  </cols>
  <sheetData>
    <row r="1" spans="1:6" s="6" customFormat="1" x14ac:dyDescent="0.35">
      <c r="A1" s="6" t="s">
        <v>200</v>
      </c>
      <c r="B1" s="6" t="s">
        <v>246</v>
      </c>
      <c r="C1" s="6" t="s">
        <v>249</v>
      </c>
      <c r="D1" s="6" t="s">
        <v>86</v>
      </c>
      <c r="E1" s="6" t="s">
        <v>2</v>
      </c>
      <c r="F1" s="6" t="s">
        <v>32</v>
      </c>
    </row>
    <row r="2" spans="1:6" x14ac:dyDescent="0.35">
      <c r="A2" s="9" t="b">
        <v>1</v>
      </c>
      <c r="B2" t="s">
        <v>247</v>
      </c>
      <c r="C2" t="s">
        <v>248</v>
      </c>
      <c r="D2" t="s">
        <v>250</v>
      </c>
      <c r="F2" t="s">
        <v>251</v>
      </c>
    </row>
    <row r="3" spans="1:6" x14ac:dyDescent="0.35">
      <c r="A3" s="9" t="b">
        <v>1</v>
      </c>
      <c r="B3" t="s">
        <v>247</v>
      </c>
      <c r="C3" t="s">
        <v>253</v>
      </c>
      <c r="D3" t="s">
        <v>252</v>
      </c>
      <c r="E3" t="s">
        <v>254</v>
      </c>
      <c r="F3" t="s">
        <v>255</v>
      </c>
    </row>
    <row r="4" spans="1:6" x14ac:dyDescent="0.35">
      <c r="A4" s="9" t="b">
        <v>1</v>
      </c>
      <c r="B4" t="s">
        <v>247</v>
      </c>
      <c r="C4" t="s">
        <v>256</v>
      </c>
      <c r="D4" t="s">
        <v>250</v>
      </c>
      <c r="F4" t="s">
        <v>257</v>
      </c>
    </row>
    <row r="5" spans="1:6" x14ac:dyDescent="0.35">
      <c r="A5" s="9" t="b">
        <v>1</v>
      </c>
      <c r="B5" t="s">
        <v>258</v>
      </c>
      <c r="C5" t="s">
        <v>259</v>
      </c>
      <c r="D5" t="s">
        <v>258</v>
      </c>
      <c r="F5" t="s">
        <v>260</v>
      </c>
    </row>
    <row r="6" spans="1:6" x14ac:dyDescent="0.35">
      <c r="A6" s="9" t="b">
        <v>1</v>
      </c>
      <c r="B6" t="s">
        <v>406</v>
      </c>
      <c r="C6" t="s">
        <v>407</v>
      </c>
      <c r="D6" t="s">
        <v>408</v>
      </c>
      <c r="E6" t="s">
        <v>409</v>
      </c>
    </row>
    <row r="7" spans="1:6" x14ac:dyDescent="0.35">
      <c r="A7" s="9" t="b">
        <v>0</v>
      </c>
      <c r="B7" t="s">
        <v>436</v>
      </c>
      <c r="C7" t="s">
        <v>437</v>
      </c>
      <c r="D7" t="s">
        <v>438</v>
      </c>
      <c r="E7" t="s">
        <v>439</v>
      </c>
    </row>
    <row r="8" spans="1:6" ht="14.5" customHeight="1" x14ac:dyDescent="0.35">
      <c r="A8" s="9" t="b">
        <v>0</v>
      </c>
    </row>
    <row r="9" spans="1:6" ht="14.5" customHeight="1" x14ac:dyDescent="0.35">
      <c r="A9" s="9" t="b">
        <v>0</v>
      </c>
    </row>
    <row r="10" spans="1:6" ht="14.5" customHeight="1" x14ac:dyDescent="0.35">
      <c r="A10" s="9" t="b">
        <v>0</v>
      </c>
    </row>
    <row r="11" spans="1:6" ht="14.5" customHeight="1" x14ac:dyDescent="0.35">
      <c r="A11" s="9" t="b">
        <v>0</v>
      </c>
    </row>
    <row r="12" spans="1:6" ht="14.5" customHeight="1" x14ac:dyDescent="0.35">
      <c r="A12" s="9" t="b">
        <v>0</v>
      </c>
    </row>
    <row r="13" spans="1:6" ht="14.5" customHeight="1" x14ac:dyDescent="0.35">
      <c r="A13" s="9" t="b">
        <v>0</v>
      </c>
    </row>
    <row r="14" spans="1:6" ht="14.5" customHeight="1" x14ac:dyDescent="0.35">
      <c r="A14" s="9" t="b">
        <v>0</v>
      </c>
    </row>
    <row r="15" spans="1:6" ht="14.5" customHeight="1" x14ac:dyDescent="0.35">
      <c r="A15" s="9" t="b">
        <v>0</v>
      </c>
    </row>
    <row r="16" spans="1:6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  <row r="41" spans="1:1" ht="14.5" customHeight="1" x14ac:dyDescent="0.35">
      <c r="A41" s="9" t="b">
        <v>0</v>
      </c>
    </row>
    <row r="42" spans="1:1" ht="14.5" customHeight="1" x14ac:dyDescent="0.35">
      <c r="A42" s="9" t="b">
        <v>0</v>
      </c>
    </row>
    <row r="43" spans="1:1" ht="14.5" customHeight="1" x14ac:dyDescent="0.35">
      <c r="A43" s="9" t="b">
        <v>0</v>
      </c>
    </row>
    <row r="44" spans="1:1" ht="14.5" customHeight="1" x14ac:dyDescent="0.35">
      <c r="A44" s="9" t="b">
        <v>0</v>
      </c>
    </row>
    <row r="45" spans="1:1" ht="14.5" customHeight="1" x14ac:dyDescent="0.35">
      <c r="A45" s="9" t="b">
        <v>0</v>
      </c>
    </row>
    <row r="46" spans="1:1" ht="14.5" customHeight="1" x14ac:dyDescent="0.35">
      <c r="A46" s="9" t="b">
        <v>0</v>
      </c>
    </row>
    <row r="47" spans="1:1" ht="14.5" customHeight="1" x14ac:dyDescent="0.35">
      <c r="A47" s="9" t="b">
        <v>0</v>
      </c>
    </row>
    <row r="48" spans="1:1" ht="14.5" customHeight="1" x14ac:dyDescent="0.35">
      <c r="A48" s="9" t="b">
        <v>0</v>
      </c>
    </row>
    <row r="49" spans="1:1" ht="14.5" customHeight="1" x14ac:dyDescent="0.35">
      <c r="A49" s="9" t="b">
        <v>0</v>
      </c>
    </row>
    <row r="50" spans="1:1" ht="14.5" customHeight="1" x14ac:dyDescent="0.35">
      <c r="A5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zoomScale="116" workbookViewId="0">
      <selection activeCell="B7" sqref="B7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200</v>
      </c>
      <c r="B1" s="3" t="s">
        <v>2</v>
      </c>
      <c r="C1" s="3" t="s">
        <v>3</v>
      </c>
      <c r="D1" s="3" t="s">
        <v>44</v>
      </c>
      <c r="E1" s="3" t="s">
        <v>32</v>
      </c>
    </row>
    <row r="2" spans="1:5" x14ac:dyDescent="0.35">
      <c r="A2" s="10" t="b">
        <v>1</v>
      </c>
      <c r="B2" s="3" t="s">
        <v>45</v>
      </c>
      <c r="C2" s="3" t="s">
        <v>24</v>
      </c>
      <c r="D2" s="3">
        <v>30</v>
      </c>
      <c r="E2" s="3" t="s">
        <v>194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J10"/>
  <sheetViews>
    <sheetView zoomScale="101" workbookViewId="0">
      <selection activeCell="A4" sqref="A4"/>
    </sheetView>
  </sheetViews>
  <sheetFormatPr defaultColWidth="0" defaultRowHeight="14.5" zeroHeight="1" x14ac:dyDescent="0.35"/>
  <cols>
    <col min="1" max="3" width="17" customWidth="1"/>
    <col min="4" max="4" width="16" customWidth="1"/>
    <col min="5" max="5" width="10" customWidth="1"/>
    <col min="6" max="7" width="13" customWidth="1"/>
    <col min="8" max="8" width="16.90625" customWidth="1"/>
    <col min="9" max="9" width="26.7265625" customWidth="1"/>
    <col min="10" max="10" width="0" hidden="1" customWidth="1"/>
    <col min="11" max="16384" width="8.7265625" hidden="1"/>
  </cols>
  <sheetData>
    <row r="1" spans="1:9" x14ac:dyDescent="0.35">
      <c r="A1" s="7" t="s">
        <v>200</v>
      </c>
      <c r="B1" s="7" t="s">
        <v>86</v>
      </c>
      <c r="C1" s="7" t="s">
        <v>280</v>
      </c>
      <c r="D1" s="7" t="s">
        <v>31</v>
      </c>
      <c r="E1" s="7" t="s">
        <v>3</v>
      </c>
      <c r="F1" s="7" t="s">
        <v>1</v>
      </c>
      <c r="G1" s="7" t="s">
        <v>283</v>
      </c>
      <c r="H1" s="7" t="s">
        <v>286</v>
      </c>
      <c r="I1" s="7" t="s">
        <v>32</v>
      </c>
    </row>
    <row r="2" spans="1:9" x14ac:dyDescent="0.35">
      <c r="A2" s="9" t="b">
        <v>1</v>
      </c>
      <c r="B2" t="s">
        <v>125</v>
      </c>
      <c r="C2" t="s">
        <v>205</v>
      </c>
      <c r="D2" t="s">
        <v>34</v>
      </c>
      <c r="E2">
        <v>1812</v>
      </c>
      <c r="F2" t="s">
        <v>35</v>
      </c>
      <c r="H2" t="s">
        <v>129</v>
      </c>
      <c r="I2" t="s">
        <v>33</v>
      </c>
    </row>
    <row r="3" spans="1:9" x14ac:dyDescent="0.35">
      <c r="A3" s="9" t="b">
        <v>1</v>
      </c>
      <c r="B3" t="s">
        <v>118</v>
      </c>
      <c r="C3" t="s">
        <v>281</v>
      </c>
      <c r="E3" t="s">
        <v>128</v>
      </c>
      <c r="H3" t="s">
        <v>127</v>
      </c>
      <c r="I3" t="s">
        <v>126</v>
      </c>
    </row>
    <row r="4" spans="1:9" x14ac:dyDescent="0.35">
      <c r="A4" s="9" t="b">
        <v>1</v>
      </c>
      <c r="B4" t="s">
        <v>118</v>
      </c>
      <c r="C4" t="s">
        <v>282</v>
      </c>
      <c r="E4" t="s">
        <v>128</v>
      </c>
      <c r="F4" t="s">
        <v>284</v>
      </c>
      <c r="G4" t="s">
        <v>285</v>
      </c>
      <c r="H4">
        <v>3568</v>
      </c>
      <c r="I4" t="s">
        <v>287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30"/>
  <sheetViews>
    <sheetView workbookViewId="0">
      <selection activeCell="A17" sqref="A17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6" max="6" width="0" hidden="1" customWidth="1"/>
    <col min="7" max="16384" width="8.7265625" hidden="1"/>
  </cols>
  <sheetData>
    <row r="1" spans="1:5" x14ac:dyDescent="0.35">
      <c r="A1" t="s">
        <v>200</v>
      </c>
      <c r="B1" t="s">
        <v>81</v>
      </c>
      <c r="C1" t="s">
        <v>211</v>
      </c>
      <c r="D1" t="s">
        <v>2</v>
      </c>
      <c r="E1" t="s">
        <v>32</v>
      </c>
    </row>
    <row r="2" spans="1:5" x14ac:dyDescent="0.35">
      <c r="A2" s="9" t="b">
        <v>1</v>
      </c>
      <c r="B2" t="s">
        <v>214</v>
      </c>
      <c r="D2" t="s">
        <v>170</v>
      </c>
      <c r="E2" t="s">
        <v>171</v>
      </c>
    </row>
    <row r="3" spans="1:5" x14ac:dyDescent="0.35">
      <c r="A3" s="9" t="b">
        <v>1</v>
      </c>
      <c r="B3" t="s">
        <v>310</v>
      </c>
      <c r="D3" t="s">
        <v>309</v>
      </c>
      <c r="E3" t="s">
        <v>311</v>
      </c>
    </row>
    <row r="4" spans="1:5" x14ac:dyDescent="0.35">
      <c r="A4" s="9" t="b">
        <v>1</v>
      </c>
      <c r="B4" t="s">
        <v>82</v>
      </c>
      <c r="C4" t="s">
        <v>212</v>
      </c>
      <c r="D4" t="s">
        <v>79</v>
      </c>
      <c r="E4" t="s">
        <v>80</v>
      </c>
    </row>
    <row r="5" spans="1:5" x14ac:dyDescent="0.35">
      <c r="A5" s="9" t="b">
        <v>1</v>
      </c>
      <c r="B5" s="4" t="s">
        <v>213</v>
      </c>
      <c r="C5" s="4" t="s">
        <v>524</v>
      </c>
      <c r="D5" t="s">
        <v>93</v>
      </c>
      <c r="E5" t="s">
        <v>94</v>
      </c>
    </row>
    <row r="6" spans="1:5" x14ac:dyDescent="0.35">
      <c r="A6" s="9" t="b">
        <v>1</v>
      </c>
      <c r="B6" t="s">
        <v>339</v>
      </c>
      <c r="C6" t="s">
        <v>523</v>
      </c>
      <c r="D6" t="s">
        <v>340</v>
      </c>
      <c r="E6" t="s">
        <v>341</v>
      </c>
    </row>
    <row r="7" spans="1:5" x14ac:dyDescent="0.35">
      <c r="A7" s="9" t="b">
        <v>1</v>
      </c>
      <c r="B7" t="s">
        <v>317</v>
      </c>
      <c r="C7" t="s">
        <v>318</v>
      </c>
      <c r="D7" t="s">
        <v>319</v>
      </c>
      <c r="E7" t="s">
        <v>320</v>
      </c>
    </row>
    <row r="8" spans="1:5" x14ac:dyDescent="0.35">
      <c r="A8" s="9" t="b">
        <v>1</v>
      </c>
      <c r="B8" t="s">
        <v>325</v>
      </c>
      <c r="C8" t="s">
        <v>326</v>
      </c>
      <c r="D8" t="s">
        <v>327</v>
      </c>
      <c r="E8" t="s">
        <v>328</v>
      </c>
    </row>
    <row r="9" spans="1:5" x14ac:dyDescent="0.35">
      <c r="A9" s="9" t="b">
        <v>1</v>
      </c>
      <c r="B9" t="s">
        <v>82</v>
      </c>
      <c r="C9" t="s">
        <v>382</v>
      </c>
      <c r="D9" t="s">
        <v>383</v>
      </c>
      <c r="E9" t="s">
        <v>384</v>
      </c>
    </row>
    <row r="10" spans="1:5" x14ac:dyDescent="0.35">
      <c r="A10" s="9" t="b">
        <v>1</v>
      </c>
      <c r="B10" t="s">
        <v>422</v>
      </c>
      <c r="C10" t="s">
        <v>425</v>
      </c>
      <c r="D10" t="s">
        <v>423</v>
      </c>
      <c r="E10" t="s">
        <v>424</v>
      </c>
    </row>
    <row r="11" spans="1:5" x14ac:dyDescent="0.35">
      <c r="A11" s="9" t="b">
        <v>1</v>
      </c>
      <c r="B11" t="s">
        <v>476</v>
      </c>
      <c r="D11" t="s">
        <v>477</v>
      </c>
      <c r="E11" t="s">
        <v>478</v>
      </c>
    </row>
    <row r="12" spans="1:5" x14ac:dyDescent="0.35">
      <c r="A12" s="9" t="b">
        <v>1</v>
      </c>
      <c r="B12" t="s">
        <v>511</v>
      </c>
      <c r="C12" t="s">
        <v>512</v>
      </c>
      <c r="D12" t="s">
        <v>513</v>
      </c>
      <c r="E12" t="s">
        <v>514</v>
      </c>
    </row>
    <row r="13" spans="1:5" x14ac:dyDescent="0.35">
      <c r="A13" s="9" t="b">
        <v>1</v>
      </c>
      <c r="B13" t="s">
        <v>339</v>
      </c>
      <c r="C13" t="s">
        <v>522</v>
      </c>
      <c r="D13" t="s">
        <v>525</v>
      </c>
      <c r="E13" t="s">
        <v>526</v>
      </c>
    </row>
    <row r="14" spans="1:5" x14ac:dyDescent="0.35">
      <c r="A14" s="9" t="b">
        <v>1</v>
      </c>
      <c r="B14" t="s">
        <v>541</v>
      </c>
      <c r="C14" t="s">
        <v>543</v>
      </c>
      <c r="D14" t="s">
        <v>542</v>
      </c>
      <c r="E14" t="s">
        <v>544</v>
      </c>
    </row>
    <row r="15" spans="1:5" x14ac:dyDescent="0.35">
      <c r="A15" s="9" t="b">
        <v>1</v>
      </c>
      <c r="B15" t="s">
        <v>545</v>
      </c>
      <c r="C15" t="s">
        <v>546</v>
      </c>
      <c r="D15" t="s">
        <v>547</v>
      </c>
      <c r="E15" t="s">
        <v>548</v>
      </c>
    </row>
    <row r="16" spans="1:5" x14ac:dyDescent="0.35">
      <c r="A16" s="9" t="b">
        <v>1</v>
      </c>
      <c r="B16" t="s">
        <v>564</v>
      </c>
      <c r="D16" t="s">
        <v>565</v>
      </c>
      <c r="E16" t="s">
        <v>566</v>
      </c>
    </row>
    <row r="17" spans="1:5" x14ac:dyDescent="0.35">
      <c r="A17" s="9" t="b">
        <v>0</v>
      </c>
      <c r="B17" t="s">
        <v>567</v>
      </c>
      <c r="C17" t="s">
        <v>568</v>
      </c>
      <c r="D17" t="s">
        <v>569</v>
      </c>
      <c r="E17" t="s">
        <v>570</v>
      </c>
    </row>
    <row r="18" spans="1:5" x14ac:dyDescent="0.35">
      <c r="A18" s="9" t="b">
        <v>0</v>
      </c>
    </row>
    <row r="19" spans="1:5" x14ac:dyDescent="0.35">
      <c r="A19" s="9" t="b">
        <v>0</v>
      </c>
    </row>
    <row r="20" spans="1:5" x14ac:dyDescent="0.35">
      <c r="A20" s="9" t="b">
        <v>0</v>
      </c>
    </row>
    <row r="21" spans="1:5" x14ac:dyDescent="0.35">
      <c r="A21" s="9" t="b">
        <v>0</v>
      </c>
    </row>
    <row r="22" spans="1:5" x14ac:dyDescent="0.35">
      <c r="A22" s="9" t="b">
        <v>0</v>
      </c>
    </row>
    <row r="23" spans="1:5" x14ac:dyDescent="0.35">
      <c r="A23" s="9" t="b">
        <v>0</v>
      </c>
    </row>
    <row r="24" spans="1:5" x14ac:dyDescent="0.35">
      <c r="A24" s="9" t="b">
        <v>0</v>
      </c>
    </row>
    <row r="25" spans="1:5" x14ac:dyDescent="0.35">
      <c r="A25" s="9" t="b">
        <v>0</v>
      </c>
    </row>
    <row r="26" spans="1:5" x14ac:dyDescent="0.35">
      <c r="A26" s="9" t="b">
        <v>0</v>
      </c>
    </row>
    <row r="27" spans="1:5" x14ac:dyDescent="0.35">
      <c r="A27" s="9" t="b">
        <v>0</v>
      </c>
    </row>
    <row r="28" spans="1:5" x14ac:dyDescent="0.35">
      <c r="A28" s="9" t="b">
        <v>0</v>
      </c>
    </row>
    <row r="29" spans="1:5" x14ac:dyDescent="0.35">
      <c r="A29" s="9" t="b">
        <v>0</v>
      </c>
    </row>
    <row r="30" spans="1:5" x14ac:dyDescent="0.35">
      <c r="A3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E11"/>
  <sheetViews>
    <sheetView workbookViewId="0">
      <selection activeCell="A4" sqref="A4"/>
    </sheetView>
  </sheetViews>
  <sheetFormatPr defaultColWidth="0" defaultRowHeight="14.5" zeroHeight="1" x14ac:dyDescent="0.35"/>
  <cols>
    <col min="1" max="1" width="15.54296875" style="3" customWidth="1"/>
    <col min="2" max="2" width="21.1796875" style="3" customWidth="1"/>
    <col min="3" max="3" width="22.1796875" style="3" customWidth="1"/>
    <col min="4" max="4" width="32" style="3" customWidth="1"/>
    <col min="5" max="5" width="45.81640625" style="3" customWidth="1"/>
    <col min="6" max="16384" width="8.7265625" style="3" hidden="1"/>
  </cols>
  <sheetData>
    <row r="1" spans="1:5" x14ac:dyDescent="0.35">
      <c r="A1" s="3" t="s">
        <v>200</v>
      </c>
      <c r="B1" s="3" t="s">
        <v>46</v>
      </c>
      <c r="C1" s="3" t="s">
        <v>3</v>
      </c>
      <c r="D1" s="3" t="s">
        <v>2</v>
      </c>
      <c r="E1" s="3" t="s">
        <v>32</v>
      </c>
    </row>
    <row r="2" spans="1:5" x14ac:dyDescent="0.35">
      <c r="A2" s="10" t="b">
        <v>1</v>
      </c>
      <c r="B2" s="3" t="s">
        <v>47</v>
      </c>
      <c r="C2" s="3" t="s">
        <v>216</v>
      </c>
      <c r="D2" s="3" t="s">
        <v>49</v>
      </c>
      <c r="E2" s="3" t="s">
        <v>48</v>
      </c>
    </row>
    <row r="3" spans="1:5" x14ac:dyDescent="0.35">
      <c r="A3" s="10" t="b">
        <v>1</v>
      </c>
      <c r="B3" s="3" t="s">
        <v>132</v>
      </c>
      <c r="C3" s="3" t="s">
        <v>215</v>
      </c>
      <c r="D3" s="3" t="s">
        <v>130</v>
      </c>
      <c r="E3" s="3" t="s">
        <v>131</v>
      </c>
    </row>
    <row r="4" spans="1:5" x14ac:dyDescent="0.35">
      <c r="A4" s="10" t="b">
        <v>1</v>
      </c>
      <c r="B4" s="3" t="s">
        <v>305</v>
      </c>
      <c r="C4" s="3" t="s">
        <v>306</v>
      </c>
      <c r="D4" s="3" t="s">
        <v>307</v>
      </c>
      <c r="E4" s="3" t="s">
        <v>308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H10"/>
  <sheetViews>
    <sheetView workbookViewId="0">
      <selection activeCell="A10" sqref="A10"/>
    </sheetView>
  </sheetViews>
  <sheetFormatPr defaultColWidth="0" defaultRowHeight="14.5" zeroHeight="1" x14ac:dyDescent="0.35"/>
  <cols>
    <col min="1" max="2" width="18" customWidth="1"/>
    <col min="3" max="3" width="8.7265625" customWidth="1"/>
    <col min="4" max="4" width="16.36328125" customWidth="1"/>
    <col min="5" max="5" width="14.36328125" style="3" customWidth="1"/>
    <col min="6" max="6" width="17.453125" customWidth="1"/>
    <col min="7" max="7" width="31.81640625" customWidth="1"/>
    <col min="8" max="8" width="43.26953125" customWidth="1"/>
    <col min="9" max="16384" width="8.7265625" hidden="1"/>
  </cols>
  <sheetData>
    <row r="1" spans="1:8" x14ac:dyDescent="0.35">
      <c r="A1" t="s">
        <v>200</v>
      </c>
      <c r="B1" t="s">
        <v>86</v>
      </c>
      <c r="C1" t="s">
        <v>19</v>
      </c>
      <c r="D1" t="s">
        <v>195</v>
      </c>
      <c r="E1" s="3" t="s">
        <v>3</v>
      </c>
      <c r="F1" t="s">
        <v>21</v>
      </c>
      <c r="G1" t="s">
        <v>2</v>
      </c>
      <c r="H1" t="s">
        <v>32</v>
      </c>
    </row>
    <row r="2" spans="1:8" x14ac:dyDescent="0.35">
      <c r="A2" s="9" t="b">
        <v>1</v>
      </c>
      <c r="B2" t="s">
        <v>361</v>
      </c>
      <c r="C2" t="s">
        <v>20</v>
      </c>
      <c r="D2" t="s">
        <v>106</v>
      </c>
      <c r="E2" s="3" t="s">
        <v>24</v>
      </c>
      <c r="F2" t="s">
        <v>22</v>
      </c>
      <c r="G2" t="s">
        <v>23</v>
      </c>
    </row>
    <row r="3" spans="1:8" x14ac:dyDescent="0.35">
      <c r="A3" s="9" t="b">
        <v>1</v>
      </c>
      <c r="B3" t="s">
        <v>361</v>
      </c>
      <c r="C3" t="s">
        <v>25</v>
      </c>
      <c r="D3" t="s">
        <v>106</v>
      </c>
      <c r="E3" s="3" t="s">
        <v>24</v>
      </c>
      <c r="F3" t="s">
        <v>22</v>
      </c>
      <c r="G3" t="s">
        <v>26</v>
      </c>
    </row>
    <row r="4" spans="1:8" x14ac:dyDescent="0.35">
      <c r="A4" s="9" t="b">
        <v>1</v>
      </c>
      <c r="B4" t="s">
        <v>361</v>
      </c>
      <c r="C4" t="s">
        <v>27</v>
      </c>
      <c r="D4" t="s">
        <v>106</v>
      </c>
      <c r="E4" s="3" t="s">
        <v>24</v>
      </c>
      <c r="F4" t="s">
        <v>22</v>
      </c>
      <c r="G4" t="s">
        <v>28</v>
      </c>
    </row>
    <row r="5" spans="1:8" x14ac:dyDescent="0.35">
      <c r="A5" s="9" t="b">
        <v>1</v>
      </c>
      <c r="B5" t="s">
        <v>361</v>
      </c>
      <c r="C5" t="s">
        <v>30</v>
      </c>
      <c r="D5" t="s">
        <v>106</v>
      </c>
      <c r="E5" s="3" t="s">
        <v>24</v>
      </c>
      <c r="F5" t="s">
        <v>22</v>
      </c>
      <c r="G5" t="s">
        <v>29</v>
      </c>
    </row>
    <row r="6" spans="1:8" x14ac:dyDescent="0.35">
      <c r="A6" s="9" t="b">
        <v>1</v>
      </c>
      <c r="B6" t="s">
        <v>361</v>
      </c>
      <c r="C6" t="s">
        <v>20</v>
      </c>
      <c r="D6" t="s">
        <v>128</v>
      </c>
      <c r="E6" s="3" t="s">
        <v>356</v>
      </c>
      <c r="F6" t="s">
        <v>22</v>
      </c>
      <c r="G6" t="s">
        <v>357</v>
      </c>
    </row>
    <row r="7" spans="1:8" x14ac:dyDescent="0.35">
      <c r="A7" s="9" t="b">
        <v>1</v>
      </c>
      <c r="B7" t="s">
        <v>360</v>
      </c>
      <c r="C7" t="s">
        <v>364</v>
      </c>
      <c r="D7" t="s">
        <v>106</v>
      </c>
      <c r="E7" s="3" t="s">
        <v>362</v>
      </c>
      <c r="F7" t="s">
        <v>363</v>
      </c>
      <c r="G7">
        <v>16347</v>
      </c>
      <c r="H7" t="s">
        <v>365</v>
      </c>
    </row>
    <row r="8" spans="1:8" x14ac:dyDescent="0.35">
      <c r="A8" s="9" t="b">
        <v>1</v>
      </c>
      <c r="B8" t="s">
        <v>361</v>
      </c>
      <c r="C8" t="s">
        <v>27</v>
      </c>
      <c r="D8" t="s">
        <v>128</v>
      </c>
      <c r="E8" s="3" t="s">
        <v>356</v>
      </c>
      <c r="F8" t="s">
        <v>22</v>
      </c>
      <c r="G8" t="s">
        <v>414</v>
      </c>
    </row>
    <row r="9" spans="1:8" x14ac:dyDescent="0.35">
      <c r="A9" s="9" t="b">
        <v>1</v>
      </c>
      <c r="B9" t="s">
        <v>361</v>
      </c>
      <c r="C9" t="s">
        <v>418</v>
      </c>
      <c r="D9" t="s">
        <v>128</v>
      </c>
      <c r="E9" s="3" t="s">
        <v>356</v>
      </c>
      <c r="F9" t="s">
        <v>22</v>
      </c>
      <c r="G9" t="s">
        <v>419</v>
      </c>
    </row>
    <row r="10" spans="1:8" x14ac:dyDescent="0.35">
      <c r="A10" s="9" t="b">
        <v>1</v>
      </c>
      <c r="B10" t="s">
        <v>361</v>
      </c>
      <c r="C10" t="s">
        <v>25</v>
      </c>
      <c r="D10" t="s">
        <v>128</v>
      </c>
      <c r="E10" s="3" t="s">
        <v>356</v>
      </c>
      <c r="F10" t="s">
        <v>22</v>
      </c>
      <c r="G10" t="s">
        <v>435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1A110-D627-46EF-8744-E79E320771F1}">
  <dimension ref="A1:G10"/>
  <sheetViews>
    <sheetView zoomScale="124" workbookViewId="0">
      <selection activeCell="G3" sqref="G3"/>
    </sheetView>
  </sheetViews>
  <sheetFormatPr defaultColWidth="0" defaultRowHeight="14.5" zeroHeight="1" x14ac:dyDescent="0.35"/>
  <cols>
    <col min="1" max="1" width="16" customWidth="1"/>
    <col min="2" max="6" width="20.6328125" customWidth="1"/>
    <col min="7" max="7" width="55.36328125" customWidth="1"/>
    <col min="8" max="16384" width="8.7265625" hidden="1"/>
  </cols>
  <sheetData>
    <row r="1" spans="1:7" x14ac:dyDescent="0.35">
      <c r="A1" s="20" t="s">
        <v>200</v>
      </c>
      <c r="B1" s="20" t="s">
        <v>273</v>
      </c>
      <c r="C1" s="20" t="s">
        <v>272</v>
      </c>
      <c r="D1" s="20" t="s">
        <v>274</v>
      </c>
      <c r="E1" s="20" t="s">
        <v>271</v>
      </c>
      <c r="F1" s="20" t="s">
        <v>2</v>
      </c>
      <c r="G1" s="20" t="s">
        <v>32</v>
      </c>
    </row>
    <row r="2" spans="1:7" x14ac:dyDescent="0.35">
      <c r="A2" s="9" t="b">
        <v>1</v>
      </c>
      <c r="B2" t="s">
        <v>276</v>
      </c>
      <c r="C2" t="s">
        <v>277</v>
      </c>
      <c r="D2" t="s">
        <v>219</v>
      </c>
      <c r="E2" t="s">
        <v>275</v>
      </c>
      <c r="F2" t="s">
        <v>278</v>
      </c>
      <c r="G2" t="s">
        <v>279</v>
      </c>
    </row>
    <row r="3" spans="1:7" x14ac:dyDescent="0.35">
      <c r="A3" s="9" t="b">
        <v>1</v>
      </c>
      <c r="B3" s="4" t="s">
        <v>454</v>
      </c>
      <c r="C3" s="4" t="s">
        <v>453</v>
      </c>
      <c r="D3" s="4" t="s">
        <v>455</v>
      </c>
      <c r="E3" s="4" t="s">
        <v>456</v>
      </c>
      <c r="F3" t="s">
        <v>457</v>
      </c>
      <c r="G3" t="s">
        <v>458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A9" sqref="A9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200</v>
      </c>
      <c r="B1" t="s">
        <v>81</v>
      </c>
      <c r="C1" t="s">
        <v>2</v>
      </c>
      <c r="D1" t="s">
        <v>32</v>
      </c>
    </row>
    <row r="2" spans="1:4" x14ac:dyDescent="0.35">
      <c r="A2" s="9" t="b">
        <v>1</v>
      </c>
      <c r="B2" t="s">
        <v>235</v>
      </c>
      <c r="C2" t="s">
        <v>236</v>
      </c>
      <c r="D2" t="s">
        <v>237</v>
      </c>
    </row>
    <row r="3" spans="1:4" x14ac:dyDescent="0.35">
      <c r="A3" s="9" t="b">
        <v>1</v>
      </c>
      <c r="B3" t="s">
        <v>261</v>
      </c>
      <c r="C3" t="s">
        <v>205</v>
      </c>
      <c r="D3" t="s">
        <v>234</v>
      </c>
    </row>
    <row r="4" spans="1:4" x14ac:dyDescent="0.35">
      <c r="A4" s="9" t="b">
        <v>1</v>
      </c>
      <c r="B4" t="s">
        <v>135</v>
      </c>
      <c r="C4" t="s">
        <v>136</v>
      </c>
      <c r="D4" t="s">
        <v>137</v>
      </c>
    </row>
    <row r="5" spans="1:4" x14ac:dyDescent="0.35">
      <c r="A5" s="9" t="b">
        <v>1</v>
      </c>
      <c r="B5" t="s">
        <v>135</v>
      </c>
      <c r="C5" t="s">
        <v>262</v>
      </c>
      <c r="D5" t="s">
        <v>263</v>
      </c>
    </row>
    <row r="6" spans="1:4" x14ac:dyDescent="0.35">
      <c r="A6" s="9" t="b">
        <v>1</v>
      </c>
      <c r="B6" t="s">
        <v>379</v>
      </c>
      <c r="C6" t="s">
        <v>380</v>
      </c>
      <c r="D6" t="s">
        <v>381</v>
      </c>
    </row>
    <row r="7" spans="1:4" x14ac:dyDescent="0.35">
      <c r="A7" s="9" t="b">
        <v>1</v>
      </c>
      <c r="B7" t="s">
        <v>504</v>
      </c>
      <c r="C7" t="s">
        <v>505</v>
      </c>
      <c r="D7" t="s">
        <v>506</v>
      </c>
    </row>
    <row r="8" spans="1:4" x14ac:dyDescent="0.35">
      <c r="A8" s="9" t="b">
        <v>1</v>
      </c>
      <c r="B8" t="s">
        <v>235</v>
      </c>
      <c r="C8" t="s">
        <v>593</v>
      </c>
      <c r="D8" t="s">
        <v>594</v>
      </c>
    </row>
    <row r="9" spans="1:4" x14ac:dyDescent="0.35">
      <c r="A9" s="9" t="b">
        <v>1</v>
      </c>
      <c r="B9" t="s">
        <v>235</v>
      </c>
      <c r="C9" t="s">
        <v>600</v>
      </c>
      <c r="D9" t="s">
        <v>601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86CF3-50F4-4B19-99AD-AF8E53CE9DBA}">
  <dimension ref="A1:I11"/>
  <sheetViews>
    <sheetView workbookViewId="0">
      <selection activeCell="H2" sqref="H2"/>
    </sheetView>
  </sheetViews>
  <sheetFormatPr defaultColWidth="0" defaultRowHeight="14.5" customHeight="1" zeroHeight="1" x14ac:dyDescent="0.35"/>
  <cols>
    <col min="1" max="2" width="15.54296875" style="3" customWidth="1"/>
    <col min="3" max="3" width="21.1796875" style="3" customWidth="1"/>
    <col min="4" max="4" width="10.6328125" style="3" customWidth="1"/>
    <col min="5" max="5" width="20.6328125" style="3" customWidth="1"/>
    <col min="6" max="7" width="15.6328125" style="3" customWidth="1"/>
    <col min="8" max="8" width="45.81640625" style="3" customWidth="1"/>
    <col min="9" max="9" width="0" style="3" hidden="1" customWidth="1"/>
    <col min="10" max="16384" width="8.7265625" style="3" hidden="1"/>
  </cols>
  <sheetData>
    <row r="1" spans="1:8" s="23" customFormat="1" x14ac:dyDescent="0.35">
      <c r="A1" s="23" t="s">
        <v>200</v>
      </c>
      <c r="B1" s="23" t="s">
        <v>86</v>
      </c>
      <c r="C1" s="23" t="s">
        <v>83</v>
      </c>
      <c r="D1" s="23" t="s">
        <v>488</v>
      </c>
      <c r="E1" s="23" t="s">
        <v>490</v>
      </c>
      <c r="F1" s="23" t="s">
        <v>492</v>
      </c>
      <c r="G1" s="23" t="s">
        <v>493</v>
      </c>
      <c r="H1" s="23" t="s">
        <v>32</v>
      </c>
    </row>
    <row r="2" spans="1:8" x14ac:dyDescent="0.35">
      <c r="A2" s="10" t="b">
        <v>1</v>
      </c>
      <c r="B2" s="3" t="s">
        <v>118</v>
      </c>
      <c r="C2" s="3" t="s">
        <v>261</v>
      </c>
      <c r="D2" s="3" t="s">
        <v>489</v>
      </c>
      <c r="E2" s="3" t="s">
        <v>491</v>
      </c>
      <c r="F2" s="3" t="s">
        <v>494</v>
      </c>
      <c r="G2" s="3" t="s">
        <v>494</v>
      </c>
      <c r="H2" s="3" t="s">
        <v>498</v>
      </c>
    </row>
    <row r="3" spans="1:8" x14ac:dyDescent="0.35">
      <c r="A3" s="10" t="b">
        <v>1</v>
      </c>
      <c r="B3" s="3" t="s">
        <v>486</v>
      </c>
      <c r="C3" s="3" t="s">
        <v>487</v>
      </c>
      <c r="D3" s="3" t="s">
        <v>489</v>
      </c>
      <c r="E3" s="3" t="s">
        <v>495</v>
      </c>
      <c r="F3" s="3" t="s">
        <v>496</v>
      </c>
      <c r="G3" s="3" t="s">
        <v>496</v>
      </c>
      <c r="H3" s="3" t="s">
        <v>497</v>
      </c>
    </row>
    <row r="4" spans="1:8" x14ac:dyDescent="0.35">
      <c r="A4" s="10" t="b">
        <v>0</v>
      </c>
    </row>
    <row r="5" spans="1:8" x14ac:dyDescent="0.35">
      <c r="A5" s="10" t="b">
        <v>0</v>
      </c>
    </row>
    <row r="6" spans="1:8" x14ac:dyDescent="0.35">
      <c r="A6" s="10" t="b">
        <v>0</v>
      </c>
    </row>
    <row r="7" spans="1:8" x14ac:dyDescent="0.35">
      <c r="A7" s="10" t="b">
        <v>0</v>
      </c>
    </row>
    <row r="8" spans="1:8" x14ac:dyDescent="0.35">
      <c r="A8" s="10" t="b">
        <v>0</v>
      </c>
    </row>
    <row r="9" spans="1:8" x14ac:dyDescent="0.35">
      <c r="A9" s="10" t="b">
        <v>0</v>
      </c>
    </row>
    <row r="10" spans="1:8" x14ac:dyDescent="0.35">
      <c r="A10" s="10" t="b">
        <v>0</v>
      </c>
    </row>
    <row r="11" spans="1:8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200</v>
      </c>
      <c r="B1" s="14" t="s">
        <v>83</v>
      </c>
      <c r="C1" s="14" t="s">
        <v>217</v>
      </c>
      <c r="D1" s="14" t="s">
        <v>220</v>
      </c>
      <c r="E1" s="14" t="s">
        <v>219</v>
      </c>
      <c r="F1" s="14" t="s">
        <v>221</v>
      </c>
      <c r="G1" s="14" t="s">
        <v>222</v>
      </c>
      <c r="H1" s="14" t="s">
        <v>223</v>
      </c>
      <c r="I1" s="14" t="s">
        <v>2</v>
      </c>
      <c r="J1" s="14" t="s">
        <v>32</v>
      </c>
    </row>
    <row r="2" spans="1:10" x14ac:dyDescent="0.35">
      <c r="A2" s="13" t="b">
        <v>1</v>
      </c>
      <c r="B2" s="14" t="s">
        <v>218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224</v>
      </c>
    </row>
    <row r="3" spans="1:10" x14ac:dyDescent="0.35">
      <c r="A3" s="13" t="b">
        <v>1</v>
      </c>
      <c r="B3" s="14" t="s">
        <v>84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85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50"/>
  <sheetViews>
    <sheetView topLeftCell="A10" zoomScale="118" workbookViewId="0">
      <selection activeCell="A34" sqref="A34"/>
    </sheetView>
  </sheetViews>
  <sheetFormatPr defaultColWidth="0" defaultRowHeight="14.5" zeroHeight="1" x14ac:dyDescent="0.35"/>
  <cols>
    <col min="1" max="1" width="17.1796875" style="19" customWidth="1"/>
    <col min="2" max="2" width="14.6328125" customWidth="1"/>
    <col min="3" max="3" width="9.726562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200</v>
      </c>
      <c r="B1" s="8" t="s">
        <v>44</v>
      </c>
      <c r="C1" s="8" t="s">
        <v>225</v>
      </c>
      <c r="D1" s="8" t="s">
        <v>50</v>
      </c>
      <c r="E1" s="8" t="s">
        <v>3</v>
      </c>
      <c r="F1" s="8" t="s">
        <v>51</v>
      </c>
      <c r="G1" s="8" t="s">
        <v>2</v>
      </c>
      <c r="H1" s="8" t="s">
        <v>32</v>
      </c>
    </row>
    <row r="2" spans="1:8" x14ac:dyDescent="0.35">
      <c r="A2" s="18" t="b">
        <v>1</v>
      </c>
      <c r="B2" s="15">
        <v>10</v>
      </c>
      <c r="C2" s="17">
        <f t="shared" ref="C2:C33" si="0">IF(ISNUMBER(B2),
IF(B2=0,"",B2),
VALUE(LEFT(B2,LEN(B2)-1))*
IF(RIGHT(B2,1)="k",1000,
IF(RIGHT(B2,1)="M",1000000,
IF(RIGHT(B2,1)="m",0.001,1))))</f>
        <v>10</v>
      </c>
      <c r="D2" s="16" t="s">
        <v>139</v>
      </c>
      <c r="E2" s="16" t="s">
        <v>128</v>
      </c>
      <c r="F2" s="16" t="s">
        <v>264</v>
      </c>
      <c r="G2" s="16" t="s">
        <v>428</v>
      </c>
      <c r="H2" s="16" t="s">
        <v>429</v>
      </c>
    </row>
    <row r="3" spans="1:8" x14ac:dyDescent="0.35">
      <c r="A3" s="18" t="b">
        <v>1</v>
      </c>
      <c r="B3" s="15">
        <v>27</v>
      </c>
      <c r="C3" s="17">
        <f t="shared" si="0"/>
        <v>27</v>
      </c>
      <c r="D3" s="16" t="s">
        <v>53</v>
      </c>
      <c r="E3" s="16" t="s">
        <v>8</v>
      </c>
      <c r="F3" s="16" t="s">
        <v>196</v>
      </c>
      <c r="G3" s="16" t="s">
        <v>56</v>
      </c>
      <c r="H3" s="16" t="s">
        <v>57</v>
      </c>
    </row>
    <row r="4" spans="1:8" x14ac:dyDescent="0.35">
      <c r="A4" s="18" t="b">
        <v>1</v>
      </c>
      <c r="B4" s="15">
        <v>33</v>
      </c>
      <c r="C4" s="17">
        <f t="shared" si="0"/>
        <v>33</v>
      </c>
      <c r="D4" s="16" t="s">
        <v>65</v>
      </c>
      <c r="E4" s="16" t="s">
        <v>8</v>
      </c>
      <c r="F4" s="16" t="s">
        <v>66</v>
      </c>
      <c r="G4" s="16" t="s">
        <v>63</v>
      </c>
      <c r="H4" s="16" t="s">
        <v>64</v>
      </c>
    </row>
    <row r="5" spans="1:8" x14ac:dyDescent="0.35">
      <c r="A5" s="18" t="b">
        <v>1</v>
      </c>
      <c r="B5" s="15">
        <v>100</v>
      </c>
      <c r="C5" s="17">
        <f t="shared" si="0"/>
        <v>100</v>
      </c>
      <c r="D5" s="16" t="s">
        <v>53</v>
      </c>
      <c r="E5" s="16" t="s">
        <v>8</v>
      </c>
      <c r="F5" s="16" t="s">
        <v>196</v>
      </c>
      <c r="G5" s="16" t="s">
        <v>238</v>
      </c>
      <c r="H5" s="16" t="s">
        <v>239</v>
      </c>
    </row>
    <row r="6" spans="1:8" x14ac:dyDescent="0.35">
      <c r="A6" s="18" t="b">
        <v>1</v>
      </c>
      <c r="B6" s="15">
        <v>120</v>
      </c>
      <c r="C6" s="17">
        <f t="shared" si="0"/>
        <v>120</v>
      </c>
      <c r="D6" s="16" t="s">
        <v>53</v>
      </c>
      <c r="E6" s="16" t="s">
        <v>8</v>
      </c>
      <c r="F6" s="16" t="s">
        <v>196</v>
      </c>
      <c r="G6" s="16" t="s">
        <v>549</v>
      </c>
      <c r="H6" s="16" t="s">
        <v>550</v>
      </c>
    </row>
    <row r="7" spans="1:8" x14ac:dyDescent="0.35">
      <c r="A7" s="18" t="b">
        <v>1</v>
      </c>
      <c r="B7" s="15">
        <v>220</v>
      </c>
      <c r="C7" s="17">
        <f t="shared" si="0"/>
        <v>220</v>
      </c>
      <c r="D7" s="16" t="s">
        <v>53</v>
      </c>
      <c r="E7" s="16" t="s">
        <v>8</v>
      </c>
      <c r="F7" s="16" t="s">
        <v>196</v>
      </c>
      <c r="G7" s="16" t="s">
        <v>62</v>
      </c>
      <c r="H7" s="16" t="s">
        <v>61</v>
      </c>
    </row>
    <row r="8" spans="1:8" x14ac:dyDescent="0.35">
      <c r="A8" s="18" t="b">
        <v>1</v>
      </c>
      <c r="B8" s="15">
        <v>220</v>
      </c>
      <c r="C8" s="17">
        <f t="shared" si="0"/>
        <v>220</v>
      </c>
      <c r="D8" s="16" t="s">
        <v>53</v>
      </c>
      <c r="E8" s="16" t="s">
        <v>24</v>
      </c>
      <c r="F8" s="16" t="s">
        <v>140</v>
      </c>
      <c r="G8" s="16" t="s">
        <v>167</v>
      </c>
      <c r="H8" s="16" t="s">
        <v>166</v>
      </c>
    </row>
    <row r="9" spans="1:8" x14ac:dyDescent="0.35">
      <c r="A9" s="18" t="b">
        <v>1</v>
      </c>
      <c r="B9" s="15">
        <v>220</v>
      </c>
      <c r="C9" s="17">
        <f t="shared" si="0"/>
        <v>220</v>
      </c>
      <c r="D9" s="16" t="s">
        <v>139</v>
      </c>
      <c r="E9" s="16" t="s">
        <v>128</v>
      </c>
      <c r="F9" s="16" t="s">
        <v>264</v>
      </c>
      <c r="G9" s="16" t="s">
        <v>358</v>
      </c>
      <c r="H9" s="16" t="s">
        <v>359</v>
      </c>
    </row>
    <row r="10" spans="1:8" x14ac:dyDescent="0.35">
      <c r="A10" s="18" t="b">
        <v>1</v>
      </c>
      <c r="B10" s="15">
        <v>680</v>
      </c>
      <c r="C10" s="17">
        <f t="shared" si="0"/>
        <v>680</v>
      </c>
      <c r="D10" s="16" t="s">
        <v>53</v>
      </c>
      <c r="E10" s="16" t="s">
        <v>8</v>
      </c>
      <c r="F10" s="16" t="s">
        <v>140</v>
      </c>
      <c r="G10" s="16" t="s">
        <v>443</v>
      </c>
      <c r="H10" s="16" t="s">
        <v>444</v>
      </c>
    </row>
    <row r="11" spans="1:8" x14ac:dyDescent="0.35">
      <c r="A11" s="18" t="b">
        <v>1</v>
      </c>
      <c r="B11" s="15" t="s">
        <v>60</v>
      </c>
      <c r="C11" s="17">
        <f t="shared" si="0"/>
        <v>1000</v>
      </c>
      <c r="D11" s="16" t="s">
        <v>53</v>
      </c>
      <c r="E11" s="16" t="s">
        <v>8</v>
      </c>
      <c r="F11" s="16" t="s">
        <v>196</v>
      </c>
      <c r="G11" s="16" t="s">
        <v>58</v>
      </c>
      <c r="H11" s="16" t="s">
        <v>59</v>
      </c>
    </row>
    <row r="12" spans="1:8" x14ac:dyDescent="0.35">
      <c r="A12" s="18" t="b">
        <v>1</v>
      </c>
      <c r="B12" s="15" t="s">
        <v>60</v>
      </c>
      <c r="C12" s="17">
        <f t="shared" si="0"/>
        <v>1000</v>
      </c>
      <c r="D12" s="16" t="s">
        <v>65</v>
      </c>
      <c r="E12" s="16" t="s">
        <v>24</v>
      </c>
      <c r="F12" s="16" t="s">
        <v>196</v>
      </c>
      <c r="G12" s="16" t="s">
        <v>133</v>
      </c>
      <c r="H12" s="16" t="s">
        <v>134</v>
      </c>
    </row>
    <row r="13" spans="1:8" x14ac:dyDescent="0.35">
      <c r="A13" s="18" t="b">
        <v>1</v>
      </c>
      <c r="B13" s="15" t="s">
        <v>461</v>
      </c>
      <c r="C13" s="17">
        <f t="shared" si="0"/>
        <v>1500</v>
      </c>
      <c r="D13" s="16" t="s">
        <v>53</v>
      </c>
      <c r="E13" s="16" t="s">
        <v>8</v>
      </c>
      <c r="F13" s="16" t="s">
        <v>196</v>
      </c>
      <c r="G13" s="16" t="s">
        <v>462</v>
      </c>
      <c r="H13" s="16" t="s">
        <v>463</v>
      </c>
    </row>
    <row r="14" spans="1:8" x14ac:dyDescent="0.35">
      <c r="A14" s="18" t="b">
        <v>1</v>
      </c>
      <c r="B14" s="15" t="s">
        <v>69</v>
      </c>
      <c r="C14" s="17">
        <f t="shared" si="0"/>
        <v>2000</v>
      </c>
      <c r="D14" s="16" t="s">
        <v>70</v>
      </c>
      <c r="E14" s="16" t="s">
        <v>8</v>
      </c>
      <c r="F14" s="16" t="s">
        <v>196</v>
      </c>
      <c r="G14" s="16" t="s">
        <v>67</v>
      </c>
      <c r="H14" s="16" t="s">
        <v>68</v>
      </c>
    </row>
    <row r="15" spans="1:8" x14ac:dyDescent="0.35">
      <c r="A15" s="18" t="b">
        <v>1</v>
      </c>
      <c r="B15" s="15" t="s">
        <v>371</v>
      </c>
      <c r="C15" s="17">
        <f t="shared" si="0"/>
        <v>3300</v>
      </c>
      <c r="D15" s="16" t="s">
        <v>53</v>
      </c>
      <c r="E15" s="16" t="s">
        <v>8</v>
      </c>
      <c r="F15" s="16" t="s">
        <v>196</v>
      </c>
      <c r="G15" s="16" t="s">
        <v>372</v>
      </c>
      <c r="H15" s="16" t="s">
        <v>373</v>
      </c>
    </row>
    <row r="16" spans="1:8" x14ac:dyDescent="0.35">
      <c r="A16" s="18" t="b">
        <v>1</v>
      </c>
      <c r="B16" s="15" t="s">
        <v>538</v>
      </c>
      <c r="C16" s="17">
        <f t="shared" si="0"/>
        <v>3480</v>
      </c>
      <c r="D16" s="16" t="s">
        <v>53</v>
      </c>
      <c r="E16" s="16" t="s">
        <v>8</v>
      </c>
      <c r="F16" s="16" t="s">
        <v>196</v>
      </c>
      <c r="G16" s="16" t="s">
        <v>539</v>
      </c>
      <c r="H16" s="16" t="s">
        <v>540</v>
      </c>
    </row>
    <row r="17" spans="1:8" x14ac:dyDescent="0.35">
      <c r="A17" s="18" t="b">
        <v>1</v>
      </c>
      <c r="B17" s="15" t="s">
        <v>52</v>
      </c>
      <c r="C17" s="17">
        <f t="shared" si="0"/>
        <v>5100</v>
      </c>
      <c r="D17" s="16" t="s">
        <v>53</v>
      </c>
      <c r="E17" s="16" t="s">
        <v>8</v>
      </c>
      <c r="F17" s="16" t="s">
        <v>196</v>
      </c>
      <c r="G17" s="16" t="s">
        <v>54</v>
      </c>
      <c r="H17" s="16" t="s">
        <v>55</v>
      </c>
    </row>
    <row r="18" spans="1:8" x14ac:dyDescent="0.35">
      <c r="A18" s="18" t="b">
        <v>1</v>
      </c>
      <c r="B18" s="15" t="s">
        <v>535</v>
      </c>
      <c r="C18" s="17">
        <f t="shared" si="0"/>
        <v>9090</v>
      </c>
      <c r="D18" s="16" t="s">
        <v>53</v>
      </c>
      <c r="E18" s="16" t="s">
        <v>8</v>
      </c>
      <c r="F18" s="16" t="s">
        <v>196</v>
      </c>
      <c r="G18" s="16" t="s">
        <v>536</v>
      </c>
      <c r="H18" s="16" t="s">
        <v>537</v>
      </c>
    </row>
    <row r="19" spans="1:8" x14ac:dyDescent="0.35">
      <c r="A19" s="18" t="b">
        <v>1</v>
      </c>
      <c r="B19" s="15" t="s">
        <v>138</v>
      </c>
      <c r="C19" s="17">
        <f t="shared" si="0"/>
        <v>10000</v>
      </c>
      <c r="D19" s="16" t="s">
        <v>139</v>
      </c>
      <c r="E19" s="16" t="s">
        <v>24</v>
      </c>
      <c r="F19" s="16" t="s">
        <v>140</v>
      </c>
      <c r="G19" s="16" t="s">
        <v>141</v>
      </c>
      <c r="H19" s="16" t="s">
        <v>142</v>
      </c>
    </row>
    <row r="20" spans="1:8" x14ac:dyDescent="0.35">
      <c r="A20" s="18" t="b">
        <v>1</v>
      </c>
      <c r="B20" s="15" t="s">
        <v>138</v>
      </c>
      <c r="C20" s="17">
        <f t="shared" si="0"/>
        <v>10000</v>
      </c>
      <c r="D20" s="16" t="s">
        <v>53</v>
      </c>
      <c r="E20" s="16" t="s">
        <v>8</v>
      </c>
      <c r="F20" s="16" t="s">
        <v>196</v>
      </c>
      <c r="G20" s="16" t="s">
        <v>391</v>
      </c>
      <c r="H20" s="16" t="s">
        <v>392</v>
      </c>
    </row>
    <row r="21" spans="1:8" x14ac:dyDescent="0.35">
      <c r="A21" s="18" t="b">
        <v>1</v>
      </c>
      <c r="B21" s="15" t="s">
        <v>440</v>
      </c>
      <c r="C21" s="17">
        <f t="shared" si="0"/>
        <v>15000</v>
      </c>
      <c r="D21" s="16" t="s">
        <v>53</v>
      </c>
      <c r="E21" s="16" t="s">
        <v>8</v>
      </c>
      <c r="F21" s="16" t="s">
        <v>140</v>
      </c>
      <c r="G21" s="16" t="s">
        <v>441</v>
      </c>
      <c r="H21" s="16" t="s">
        <v>442</v>
      </c>
    </row>
    <row r="22" spans="1:8" x14ac:dyDescent="0.35">
      <c r="A22" s="18" t="b">
        <v>1</v>
      </c>
      <c r="B22" s="15" t="s">
        <v>329</v>
      </c>
      <c r="C22" s="17">
        <f t="shared" si="0"/>
        <v>47000</v>
      </c>
      <c r="D22" s="16" t="s">
        <v>53</v>
      </c>
      <c r="E22" s="16" t="s">
        <v>8</v>
      </c>
      <c r="F22" s="16" t="s">
        <v>196</v>
      </c>
      <c r="G22" s="16" t="s">
        <v>330</v>
      </c>
      <c r="H22" s="16" t="s">
        <v>331</v>
      </c>
    </row>
    <row r="23" spans="1:8" x14ac:dyDescent="0.35">
      <c r="A23" s="18" t="b">
        <v>1</v>
      </c>
      <c r="B23" s="15" t="s">
        <v>143</v>
      </c>
      <c r="C23" s="17">
        <f t="shared" si="0"/>
        <v>52300</v>
      </c>
      <c r="D23" s="16" t="s">
        <v>53</v>
      </c>
      <c r="E23" s="16" t="s">
        <v>24</v>
      </c>
      <c r="F23" s="16" t="s">
        <v>140</v>
      </c>
      <c r="G23" s="16" t="s">
        <v>144</v>
      </c>
      <c r="H23" s="16" t="s">
        <v>145</v>
      </c>
    </row>
    <row r="24" spans="1:8" x14ac:dyDescent="0.35">
      <c r="A24" s="18" t="b">
        <v>1</v>
      </c>
      <c r="B24" s="15" t="s">
        <v>532</v>
      </c>
      <c r="C24" s="17">
        <f t="shared" si="0"/>
        <v>90900</v>
      </c>
      <c r="D24" s="16" t="s">
        <v>53</v>
      </c>
      <c r="E24" s="16" t="s">
        <v>8</v>
      </c>
      <c r="F24" s="16" t="s">
        <v>196</v>
      </c>
      <c r="G24" s="16" t="s">
        <v>533</v>
      </c>
      <c r="H24" s="16" t="s">
        <v>534</v>
      </c>
    </row>
    <row r="25" spans="1:8" x14ac:dyDescent="0.35">
      <c r="A25" s="18" t="b">
        <v>1</v>
      </c>
      <c r="B25" s="15" t="s">
        <v>267</v>
      </c>
      <c r="C25" s="17">
        <f t="shared" si="0"/>
        <v>100000</v>
      </c>
      <c r="D25" s="16" t="s">
        <v>53</v>
      </c>
      <c r="E25" s="16" t="s">
        <v>128</v>
      </c>
      <c r="F25" s="16" t="s">
        <v>264</v>
      </c>
      <c r="G25" s="16" t="s">
        <v>265</v>
      </c>
      <c r="H25" s="16" t="s">
        <v>266</v>
      </c>
    </row>
    <row r="26" spans="1:8" x14ac:dyDescent="0.35">
      <c r="A26" s="18" t="b">
        <v>1</v>
      </c>
      <c r="B26" s="15" t="s">
        <v>385</v>
      </c>
      <c r="C26" s="17">
        <f t="shared" si="0"/>
        <v>200000</v>
      </c>
      <c r="D26" s="16" t="s">
        <v>139</v>
      </c>
      <c r="E26" s="16" t="s">
        <v>8</v>
      </c>
      <c r="F26" s="16" t="s">
        <v>196</v>
      </c>
      <c r="G26" s="16" t="s">
        <v>386</v>
      </c>
      <c r="H26" s="16" t="s">
        <v>387</v>
      </c>
    </row>
    <row r="27" spans="1:8" x14ac:dyDescent="0.35">
      <c r="A27" s="18" t="b">
        <v>1</v>
      </c>
      <c r="B27" s="15" t="s">
        <v>388</v>
      </c>
      <c r="C27" s="17">
        <f t="shared" si="0"/>
        <v>300000</v>
      </c>
      <c r="D27" s="16" t="s">
        <v>53</v>
      </c>
      <c r="E27" s="16" t="s">
        <v>8</v>
      </c>
      <c r="F27" s="16" t="s">
        <v>140</v>
      </c>
      <c r="G27" s="16" t="s">
        <v>389</v>
      </c>
      <c r="H27" s="16" t="s">
        <v>390</v>
      </c>
    </row>
    <row r="28" spans="1:8" x14ac:dyDescent="0.35">
      <c r="A28" s="18" t="b">
        <v>1</v>
      </c>
      <c r="B28" s="15" t="s">
        <v>291</v>
      </c>
      <c r="C28" s="17">
        <f t="shared" si="0"/>
        <v>680000</v>
      </c>
      <c r="D28" s="16" t="s">
        <v>139</v>
      </c>
      <c r="E28" s="16" t="s">
        <v>128</v>
      </c>
      <c r="F28" s="16" t="s">
        <v>289</v>
      </c>
      <c r="G28" s="16" t="s">
        <v>292</v>
      </c>
      <c r="H28" s="16" t="s">
        <v>294</v>
      </c>
    </row>
    <row r="29" spans="1:8" x14ac:dyDescent="0.35">
      <c r="A29" s="18" t="b">
        <v>1</v>
      </c>
      <c r="B29" s="15" t="s">
        <v>288</v>
      </c>
      <c r="C29" s="17">
        <f t="shared" si="0"/>
        <v>1000000</v>
      </c>
      <c r="D29" s="16" t="s">
        <v>139</v>
      </c>
      <c r="E29" s="16" t="s">
        <v>128</v>
      </c>
      <c r="F29" s="16" t="s">
        <v>289</v>
      </c>
      <c r="G29" s="16" t="s">
        <v>290</v>
      </c>
      <c r="H29" s="16" t="s">
        <v>293</v>
      </c>
    </row>
    <row r="30" spans="1:8" x14ac:dyDescent="0.35">
      <c r="A30" s="18" t="b">
        <v>1</v>
      </c>
      <c r="B30" s="15" t="s">
        <v>288</v>
      </c>
      <c r="C30" s="17">
        <f t="shared" si="0"/>
        <v>1000000</v>
      </c>
      <c r="D30" s="16" t="s">
        <v>53</v>
      </c>
      <c r="E30" s="16" t="s">
        <v>8</v>
      </c>
      <c r="F30" s="16" t="s">
        <v>196</v>
      </c>
      <c r="G30" s="16" t="s">
        <v>323</v>
      </c>
      <c r="H30" s="16" t="s">
        <v>324</v>
      </c>
    </row>
    <row r="31" spans="1:8" x14ac:dyDescent="0.35">
      <c r="A31" s="18" t="b">
        <v>1</v>
      </c>
      <c r="B31" s="15" t="s">
        <v>573</v>
      </c>
      <c r="C31" s="17">
        <f t="shared" si="0"/>
        <v>392000</v>
      </c>
      <c r="D31" s="16" t="s">
        <v>53</v>
      </c>
      <c r="E31" s="16" t="s">
        <v>8</v>
      </c>
      <c r="F31" s="16" t="s">
        <v>196</v>
      </c>
      <c r="G31" s="16" t="s">
        <v>574</v>
      </c>
      <c r="H31" s="16" t="s">
        <v>575</v>
      </c>
    </row>
    <row r="32" spans="1:8" x14ac:dyDescent="0.35">
      <c r="A32" s="18" t="b">
        <v>1</v>
      </c>
      <c r="B32" s="15">
        <v>845</v>
      </c>
      <c r="C32" s="17">
        <f t="shared" si="0"/>
        <v>845</v>
      </c>
      <c r="D32" s="16" t="s">
        <v>53</v>
      </c>
      <c r="E32" s="16" t="s">
        <v>8</v>
      </c>
      <c r="F32" s="16" t="s">
        <v>196</v>
      </c>
      <c r="G32" s="16" t="s">
        <v>576</v>
      </c>
      <c r="H32" s="16" t="s">
        <v>577</v>
      </c>
    </row>
    <row r="33" spans="1:8" x14ac:dyDescent="0.35">
      <c r="A33" s="18" t="b">
        <v>1</v>
      </c>
      <c r="B33" s="15">
        <v>698</v>
      </c>
      <c r="C33" s="17">
        <f t="shared" si="0"/>
        <v>698</v>
      </c>
      <c r="D33" s="16" t="s">
        <v>53</v>
      </c>
      <c r="E33" s="16" t="s">
        <v>8</v>
      </c>
      <c r="F33" s="16" t="s">
        <v>196</v>
      </c>
      <c r="G33" s="16" t="s">
        <v>578</v>
      </c>
      <c r="H33" s="16" t="s">
        <v>579</v>
      </c>
    </row>
    <row r="34" spans="1:8" x14ac:dyDescent="0.35">
      <c r="A34" s="18" t="b">
        <v>1</v>
      </c>
      <c r="B34" s="15" t="s">
        <v>583</v>
      </c>
      <c r="C34" s="17">
        <f t="shared" ref="C34:C50" si="1">IF(ISNUMBER(B34),
IF(B34=0,"",B34),
VALUE(LEFT(B34,LEN(B34)-1))*
IF(RIGHT(B34,1)="k",1000,
IF(RIGHT(B34,1)="M",1000000,
IF(RIGHT(B34,1)="m",0.001,1))))</f>
        <v>53200</v>
      </c>
      <c r="D34" s="16" t="s">
        <v>53</v>
      </c>
      <c r="E34" s="16" t="s">
        <v>8</v>
      </c>
      <c r="F34" s="16" t="s">
        <v>196</v>
      </c>
      <c r="G34" s="16" t="s">
        <v>584</v>
      </c>
      <c r="H34" s="16" t="s">
        <v>585</v>
      </c>
    </row>
    <row r="35" spans="1:8" x14ac:dyDescent="0.35">
      <c r="A35" s="18" t="b">
        <v>0</v>
      </c>
      <c r="B35" s="15">
        <v>0</v>
      </c>
      <c r="C35" s="17" t="str">
        <f t="shared" si="1"/>
        <v/>
      </c>
      <c r="D35" s="16"/>
      <c r="E35" s="16"/>
      <c r="F35" s="16"/>
      <c r="G35" s="16"/>
      <c r="H35" s="16"/>
    </row>
    <row r="36" spans="1:8" x14ac:dyDescent="0.35">
      <c r="A36" s="18" t="b">
        <v>0</v>
      </c>
      <c r="B36" s="15">
        <v>0</v>
      </c>
      <c r="C36" s="17" t="str">
        <f t="shared" si="1"/>
        <v/>
      </c>
      <c r="D36" s="16"/>
      <c r="E36" s="16"/>
      <c r="F36" s="16"/>
      <c r="G36" s="16"/>
      <c r="H36" s="16"/>
    </row>
    <row r="37" spans="1:8" x14ac:dyDescent="0.35">
      <c r="A37" s="18" t="b">
        <v>0</v>
      </c>
      <c r="B37" s="15">
        <v>0</v>
      </c>
      <c r="C37" s="17" t="str">
        <f t="shared" si="1"/>
        <v/>
      </c>
      <c r="D37" s="16"/>
      <c r="E37" s="16"/>
      <c r="F37" s="16"/>
      <c r="G37" s="16"/>
      <c r="H37" s="16"/>
    </row>
    <row r="38" spans="1:8" x14ac:dyDescent="0.35">
      <c r="A38" s="18" t="b">
        <v>0</v>
      </c>
      <c r="B38" s="15">
        <v>0</v>
      </c>
      <c r="C38" s="17" t="str">
        <f t="shared" si="1"/>
        <v/>
      </c>
      <c r="D38" s="16"/>
      <c r="E38" s="16"/>
      <c r="F38" s="16"/>
      <c r="G38" s="16"/>
      <c r="H38" s="16"/>
    </row>
    <row r="39" spans="1:8" x14ac:dyDescent="0.35">
      <c r="A39" s="18" t="b">
        <v>0</v>
      </c>
      <c r="B39" s="15">
        <v>0</v>
      </c>
      <c r="C39" s="17" t="str">
        <f t="shared" si="1"/>
        <v/>
      </c>
      <c r="D39" s="16"/>
      <c r="E39" s="16"/>
      <c r="F39" s="16"/>
      <c r="G39" s="16"/>
      <c r="H39" s="16"/>
    </row>
    <row r="40" spans="1:8" x14ac:dyDescent="0.35">
      <c r="A40" s="18" t="b">
        <v>0</v>
      </c>
      <c r="B40" s="15">
        <v>0</v>
      </c>
      <c r="C40" s="17" t="str">
        <f t="shared" si="1"/>
        <v/>
      </c>
      <c r="D40" s="16"/>
      <c r="E40" s="16"/>
      <c r="F40" s="16"/>
      <c r="G40" s="16"/>
      <c r="H40" s="16"/>
    </row>
    <row r="41" spans="1:8" x14ac:dyDescent="0.35">
      <c r="A41" s="18" t="b">
        <v>0</v>
      </c>
      <c r="B41" s="15">
        <v>0</v>
      </c>
      <c r="C41" s="17" t="str">
        <f t="shared" si="1"/>
        <v/>
      </c>
      <c r="D41" s="16"/>
      <c r="E41" s="16"/>
      <c r="F41" s="16"/>
      <c r="G41" s="16"/>
      <c r="H41" s="16"/>
    </row>
    <row r="42" spans="1:8" x14ac:dyDescent="0.35">
      <c r="A42" s="18" t="b">
        <v>0</v>
      </c>
      <c r="B42" s="15">
        <v>0</v>
      </c>
      <c r="C42" s="17" t="str">
        <f t="shared" si="1"/>
        <v/>
      </c>
      <c r="D42" s="16"/>
      <c r="E42" s="16"/>
      <c r="F42" s="16"/>
      <c r="G42" s="16"/>
      <c r="H42" s="16"/>
    </row>
    <row r="43" spans="1:8" x14ac:dyDescent="0.35">
      <c r="A43" s="18" t="b">
        <v>0</v>
      </c>
      <c r="B43" s="15">
        <v>0</v>
      </c>
      <c r="C43" s="17" t="str">
        <f t="shared" si="1"/>
        <v/>
      </c>
      <c r="D43" s="16"/>
      <c r="E43" s="16"/>
      <c r="F43" s="16"/>
      <c r="G43" s="16"/>
      <c r="H43" s="16"/>
    </row>
    <row r="44" spans="1:8" x14ac:dyDescent="0.35">
      <c r="A44" s="18" t="b">
        <v>0</v>
      </c>
      <c r="B44" s="15">
        <v>0</v>
      </c>
      <c r="C44" s="17" t="str">
        <f t="shared" si="1"/>
        <v/>
      </c>
      <c r="D44" s="16"/>
      <c r="E44" s="16"/>
      <c r="F44" s="16"/>
      <c r="G44" s="16"/>
      <c r="H44" s="16"/>
    </row>
    <row r="45" spans="1:8" x14ac:dyDescent="0.35">
      <c r="A45" s="18" t="b">
        <v>0</v>
      </c>
      <c r="B45" s="15">
        <v>0</v>
      </c>
      <c r="C45" s="17" t="str">
        <f t="shared" si="1"/>
        <v/>
      </c>
      <c r="D45" s="16"/>
      <c r="E45" s="16"/>
      <c r="F45" s="16"/>
      <c r="G45" s="16"/>
      <c r="H45" s="16"/>
    </row>
    <row r="46" spans="1:8" x14ac:dyDescent="0.35">
      <c r="A46" s="18" t="b">
        <v>0</v>
      </c>
      <c r="B46" s="15">
        <v>0</v>
      </c>
      <c r="C46" s="17" t="str">
        <f t="shared" si="1"/>
        <v/>
      </c>
      <c r="D46" s="16"/>
      <c r="E46" s="16"/>
      <c r="F46" s="16"/>
      <c r="G46" s="16"/>
      <c r="H46" s="16"/>
    </row>
    <row r="47" spans="1:8" x14ac:dyDescent="0.35">
      <c r="A47" s="18" t="b">
        <v>0</v>
      </c>
      <c r="B47" s="15">
        <v>0</v>
      </c>
      <c r="C47" s="17" t="str">
        <f t="shared" si="1"/>
        <v/>
      </c>
      <c r="D47" s="16"/>
      <c r="E47" s="16"/>
      <c r="F47" s="16"/>
      <c r="G47" s="16"/>
      <c r="H47" s="16"/>
    </row>
    <row r="48" spans="1:8" x14ac:dyDescent="0.35">
      <c r="A48" s="18" t="b">
        <v>0</v>
      </c>
      <c r="B48" s="15">
        <v>0</v>
      </c>
      <c r="C48" s="17" t="str">
        <f t="shared" si="1"/>
        <v/>
      </c>
      <c r="D48" s="16"/>
      <c r="E48" s="16"/>
      <c r="F48" s="16"/>
      <c r="G48" s="16"/>
      <c r="H48" s="16"/>
    </row>
    <row r="49" spans="1:8" x14ac:dyDescent="0.35">
      <c r="A49" s="18" t="b">
        <v>0</v>
      </c>
      <c r="B49" s="15">
        <v>0</v>
      </c>
      <c r="C49" s="17" t="str">
        <f t="shared" si="1"/>
        <v/>
      </c>
      <c r="D49" s="16"/>
      <c r="E49" s="16"/>
      <c r="F49" s="16"/>
      <c r="G49" s="16"/>
      <c r="H49" s="16"/>
    </row>
    <row r="50" spans="1:8" x14ac:dyDescent="0.35">
      <c r="A50" s="18" t="b">
        <v>0</v>
      </c>
      <c r="B50" s="15">
        <v>0</v>
      </c>
      <c r="C50" s="17" t="str">
        <f t="shared" si="1"/>
        <v/>
      </c>
      <c r="D50" s="16"/>
      <c r="E50" s="16"/>
      <c r="F50" s="16"/>
      <c r="G50" s="16"/>
      <c r="H50" s="16"/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workbookViewId="0">
      <selection activeCell="B6" sqref="B6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200</v>
      </c>
      <c r="B1" t="s">
        <v>81</v>
      </c>
      <c r="C1" t="s">
        <v>71</v>
      </c>
      <c r="D1" t="s">
        <v>2</v>
      </c>
      <c r="E1" t="s">
        <v>72</v>
      </c>
      <c r="F1" t="s">
        <v>73</v>
      </c>
      <c r="G1" t="s">
        <v>32</v>
      </c>
    </row>
    <row r="2" spans="1:7" x14ac:dyDescent="0.35">
      <c r="A2" s="9" t="b">
        <v>1</v>
      </c>
      <c r="B2" t="s">
        <v>197</v>
      </c>
      <c r="C2" t="s">
        <v>75</v>
      </c>
      <c r="D2" t="s">
        <v>76</v>
      </c>
      <c r="E2" t="s">
        <v>77</v>
      </c>
      <c r="F2" t="s">
        <v>78</v>
      </c>
      <c r="G2" t="s">
        <v>74</v>
      </c>
    </row>
    <row r="3" spans="1:7" x14ac:dyDescent="0.35">
      <c r="A3" s="9" t="b">
        <v>1</v>
      </c>
      <c r="B3" t="s">
        <v>312</v>
      </c>
      <c r="C3" t="s">
        <v>313</v>
      </c>
      <c r="D3" t="s">
        <v>314</v>
      </c>
      <c r="E3" t="s">
        <v>315</v>
      </c>
      <c r="F3" t="s">
        <v>78</v>
      </c>
      <c r="G3" t="s">
        <v>316</v>
      </c>
    </row>
    <row r="4" spans="1:7" x14ac:dyDescent="0.35">
      <c r="A4" s="9" t="b">
        <v>1</v>
      </c>
      <c r="B4" t="s">
        <v>393</v>
      </c>
      <c r="C4" t="s">
        <v>313</v>
      </c>
      <c r="D4" t="s">
        <v>394</v>
      </c>
      <c r="E4" t="s">
        <v>395</v>
      </c>
      <c r="F4" t="s">
        <v>396</v>
      </c>
      <c r="G4" t="s">
        <v>397</v>
      </c>
    </row>
    <row r="5" spans="1:7" x14ac:dyDescent="0.35">
      <c r="A5" s="9" t="b">
        <v>1</v>
      </c>
      <c r="B5" t="s">
        <v>417</v>
      </c>
      <c r="C5" t="s">
        <v>75</v>
      </c>
      <c r="D5" t="s">
        <v>415</v>
      </c>
      <c r="G5" t="s">
        <v>416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E22B-8706-4C7D-8FD7-8DB91A3B148C}">
  <dimension ref="A1:H11"/>
  <sheetViews>
    <sheetView workbookViewId="0">
      <selection activeCell="F3" sqref="F3"/>
    </sheetView>
  </sheetViews>
  <sheetFormatPr defaultColWidth="0" defaultRowHeight="14.5" customHeight="1" zeroHeight="1" x14ac:dyDescent="0.35"/>
  <cols>
    <col min="1" max="1" width="16.90625" customWidth="1"/>
    <col min="2" max="2" width="22.26953125" customWidth="1"/>
    <col min="3" max="3" width="17.6328125" customWidth="1"/>
    <col min="4" max="4" width="13.81640625" customWidth="1"/>
    <col min="5" max="5" width="19.26953125" customWidth="1"/>
    <col min="6" max="6" width="41.81640625" customWidth="1"/>
    <col min="7" max="8" width="0" hidden="1" customWidth="1"/>
    <col min="9" max="16384" width="8.7265625" hidden="1"/>
  </cols>
  <sheetData>
    <row r="1" spans="1:6" x14ac:dyDescent="0.35">
      <c r="A1" s="22" t="s">
        <v>200</v>
      </c>
      <c r="B1" s="22" t="s">
        <v>193</v>
      </c>
      <c r="C1" s="22" t="s">
        <v>342</v>
      </c>
      <c r="D1" s="22" t="s">
        <v>246</v>
      </c>
      <c r="E1" s="22" t="s">
        <v>2</v>
      </c>
      <c r="F1" s="22" t="s">
        <v>32</v>
      </c>
    </row>
    <row r="2" spans="1:6" x14ac:dyDescent="0.35">
      <c r="A2" s="9" t="b">
        <v>1</v>
      </c>
      <c r="B2" t="s">
        <v>106</v>
      </c>
      <c r="C2">
        <v>1</v>
      </c>
      <c r="D2" t="s">
        <v>205</v>
      </c>
      <c r="E2" t="s">
        <v>205</v>
      </c>
      <c r="F2" t="s">
        <v>205</v>
      </c>
    </row>
    <row r="3" spans="1:6" x14ac:dyDescent="0.35">
      <c r="A3" s="9" t="b">
        <v>1</v>
      </c>
      <c r="B3" t="s">
        <v>128</v>
      </c>
      <c r="C3">
        <v>1</v>
      </c>
      <c r="D3" t="s">
        <v>343</v>
      </c>
      <c r="E3">
        <v>5012</v>
      </c>
      <c r="F3" t="s">
        <v>344</v>
      </c>
    </row>
    <row r="4" spans="1:6" x14ac:dyDescent="0.35">
      <c r="A4" s="9" t="b">
        <v>0</v>
      </c>
    </row>
    <row r="5" spans="1:6" x14ac:dyDescent="0.35">
      <c r="A5" s="9" t="b">
        <v>0</v>
      </c>
    </row>
    <row r="6" spans="1:6" x14ac:dyDescent="0.35">
      <c r="A6" s="9" t="b">
        <v>0</v>
      </c>
    </row>
    <row r="7" spans="1:6" x14ac:dyDescent="0.35">
      <c r="A7" s="9" t="b">
        <v>0</v>
      </c>
    </row>
    <row r="8" spans="1:6" x14ac:dyDescent="0.35">
      <c r="A8" s="9" t="b">
        <v>0</v>
      </c>
    </row>
    <row r="9" spans="1:6" x14ac:dyDescent="0.35">
      <c r="A9" s="9" t="b">
        <v>0</v>
      </c>
    </row>
    <row r="10" spans="1:6" x14ac:dyDescent="0.35">
      <c r="A10" s="9" t="b">
        <v>0</v>
      </c>
    </row>
    <row r="11" spans="1:6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8A8BC-C561-4B6F-BC57-3A027560508C}">
  <dimension ref="A1:K11"/>
  <sheetViews>
    <sheetView workbookViewId="0">
      <selection activeCell="I4" sqref="I4"/>
    </sheetView>
  </sheetViews>
  <sheetFormatPr defaultColWidth="0" defaultRowHeight="14.5" customHeight="1" zeroHeight="1" x14ac:dyDescent="0.35"/>
  <cols>
    <col min="1" max="1" width="16.90625" customWidth="1"/>
    <col min="2" max="2" width="12.6328125" customWidth="1"/>
    <col min="3" max="7" width="13.81640625" customWidth="1"/>
    <col min="8" max="8" width="19.26953125" customWidth="1"/>
    <col min="9" max="9" width="41.81640625" customWidth="1"/>
    <col min="10" max="11" width="0" hidden="1" customWidth="1"/>
    <col min="12" max="16384" width="8.7265625" hidden="1"/>
  </cols>
  <sheetData>
    <row r="1" spans="1:9" x14ac:dyDescent="0.35">
      <c r="A1" s="21" t="s">
        <v>200</v>
      </c>
      <c r="B1" s="21" t="s">
        <v>297</v>
      </c>
      <c r="C1" s="21" t="s">
        <v>298</v>
      </c>
      <c r="D1" s="21" t="s">
        <v>1</v>
      </c>
      <c r="E1" s="21" t="s">
        <v>283</v>
      </c>
      <c r="F1" s="21" t="s">
        <v>588</v>
      </c>
      <c r="G1" s="21" t="s">
        <v>300</v>
      </c>
      <c r="H1" s="21" t="s">
        <v>2</v>
      </c>
      <c r="I1" s="21" t="s">
        <v>32</v>
      </c>
    </row>
    <row r="2" spans="1:9" x14ac:dyDescent="0.35">
      <c r="A2" s="9" t="b">
        <v>1</v>
      </c>
      <c r="B2" t="s">
        <v>299</v>
      </c>
      <c r="C2" t="s">
        <v>301</v>
      </c>
      <c r="D2">
        <v>40</v>
      </c>
      <c r="E2" t="s">
        <v>302</v>
      </c>
      <c r="G2" t="s">
        <v>128</v>
      </c>
      <c r="H2" t="s">
        <v>303</v>
      </c>
      <c r="I2" t="s">
        <v>304</v>
      </c>
    </row>
    <row r="3" spans="1:9" x14ac:dyDescent="0.35">
      <c r="A3" s="9" t="b">
        <v>1</v>
      </c>
      <c r="B3" t="s">
        <v>299</v>
      </c>
      <c r="C3" t="s">
        <v>301</v>
      </c>
      <c r="D3">
        <v>40</v>
      </c>
      <c r="E3" t="s">
        <v>587</v>
      </c>
      <c r="F3" t="s">
        <v>589</v>
      </c>
      <c r="G3" t="s">
        <v>590</v>
      </c>
      <c r="H3" t="s">
        <v>591</v>
      </c>
      <c r="I3" t="s">
        <v>592</v>
      </c>
    </row>
    <row r="4" spans="1:9" x14ac:dyDescent="0.35">
      <c r="A4" s="9" t="b">
        <v>1</v>
      </c>
      <c r="B4" t="s">
        <v>299</v>
      </c>
      <c r="C4" t="s">
        <v>301</v>
      </c>
      <c r="D4">
        <v>20</v>
      </c>
      <c r="E4" t="s">
        <v>596</v>
      </c>
      <c r="F4" t="s">
        <v>597</v>
      </c>
      <c r="G4" t="s">
        <v>595</v>
      </c>
      <c r="H4" t="s">
        <v>598</v>
      </c>
      <c r="I4" t="s">
        <v>599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  <row r="11" spans="1:9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H12"/>
  <sheetViews>
    <sheetView workbookViewId="0">
      <selection activeCell="D7" sqref="D7"/>
    </sheetView>
  </sheetViews>
  <sheetFormatPr defaultColWidth="0" defaultRowHeight="14.5" zeroHeight="1" x14ac:dyDescent="0.35"/>
  <cols>
    <col min="1" max="1" width="18.1796875" customWidth="1"/>
    <col min="2" max="2" width="16.26953125" customWidth="1"/>
    <col min="3" max="3" width="13.1796875" customWidth="1"/>
    <col min="4" max="4" width="16.26953125" customWidth="1"/>
    <col min="5" max="5" width="15.26953125" customWidth="1"/>
    <col min="6" max="7" width="18.54296875" customWidth="1"/>
    <col min="8" max="8" width="54.90625" customWidth="1"/>
    <col min="9" max="16384" width="8.7265625" hidden="1"/>
  </cols>
  <sheetData>
    <row r="1" spans="1:8" x14ac:dyDescent="0.35">
      <c r="A1" t="s">
        <v>200</v>
      </c>
      <c r="B1" t="s">
        <v>86</v>
      </c>
      <c r="C1" t="s">
        <v>226</v>
      </c>
      <c r="D1" t="s">
        <v>228</v>
      </c>
      <c r="E1" t="s">
        <v>88</v>
      </c>
      <c r="F1" t="s">
        <v>91</v>
      </c>
      <c r="G1" t="s">
        <v>2</v>
      </c>
      <c r="H1" t="s">
        <v>32</v>
      </c>
    </row>
    <row r="2" spans="1:8" x14ac:dyDescent="0.35">
      <c r="A2" s="9" t="b">
        <v>1</v>
      </c>
      <c r="B2" t="s">
        <v>87</v>
      </c>
      <c r="C2" t="s">
        <v>232</v>
      </c>
      <c r="D2" t="s">
        <v>229</v>
      </c>
      <c r="E2" t="s">
        <v>89</v>
      </c>
      <c r="F2" t="s">
        <v>92</v>
      </c>
      <c r="G2" t="s">
        <v>90</v>
      </c>
      <c r="H2" t="s">
        <v>230</v>
      </c>
    </row>
    <row r="3" spans="1:8" x14ac:dyDescent="0.35">
      <c r="A3" s="9" t="b">
        <v>1</v>
      </c>
      <c r="B3" t="s">
        <v>87</v>
      </c>
      <c r="C3" t="s">
        <v>366</v>
      </c>
      <c r="D3" s="4" t="s">
        <v>367</v>
      </c>
      <c r="E3" t="s">
        <v>368</v>
      </c>
      <c r="F3" t="s">
        <v>122</v>
      </c>
      <c r="G3" t="s">
        <v>369</v>
      </c>
      <c r="H3" t="s">
        <v>370</v>
      </c>
    </row>
    <row r="4" spans="1:8" x14ac:dyDescent="0.35">
      <c r="A4" s="9" t="b">
        <v>1</v>
      </c>
      <c r="B4" t="s">
        <v>87</v>
      </c>
      <c r="C4" t="s">
        <v>366</v>
      </c>
      <c r="D4" t="s">
        <v>375</v>
      </c>
      <c r="E4" t="s">
        <v>374</v>
      </c>
      <c r="F4" t="s">
        <v>174</v>
      </c>
      <c r="G4" t="s">
        <v>376</v>
      </c>
      <c r="H4" t="s">
        <v>377</v>
      </c>
    </row>
    <row r="5" spans="1:8" x14ac:dyDescent="0.35">
      <c r="A5" s="9" t="b">
        <v>1</v>
      </c>
      <c r="B5" t="s">
        <v>146</v>
      </c>
      <c r="C5" t="s">
        <v>227</v>
      </c>
      <c r="D5" t="s">
        <v>231</v>
      </c>
      <c r="E5" t="s">
        <v>149</v>
      </c>
      <c r="F5" t="s">
        <v>147</v>
      </c>
      <c r="G5" t="s">
        <v>148</v>
      </c>
      <c r="H5" t="s">
        <v>150</v>
      </c>
    </row>
    <row r="6" spans="1:8" x14ac:dyDescent="0.35">
      <c r="A6" s="9" t="b">
        <v>1</v>
      </c>
      <c r="B6" t="s">
        <v>146</v>
      </c>
      <c r="C6" t="s">
        <v>227</v>
      </c>
      <c r="D6" t="s">
        <v>560</v>
      </c>
      <c r="E6" t="s">
        <v>557</v>
      </c>
      <c r="F6" t="s">
        <v>395</v>
      </c>
      <c r="G6" t="s">
        <v>558</v>
      </c>
      <c r="H6" t="s">
        <v>559</v>
      </c>
    </row>
    <row r="7" spans="1:8" x14ac:dyDescent="0.35">
      <c r="A7" s="9" t="b">
        <v>0</v>
      </c>
    </row>
    <row r="8" spans="1:8" x14ac:dyDescent="0.35">
      <c r="A8" s="9" t="b">
        <v>0</v>
      </c>
    </row>
    <row r="9" spans="1:8" x14ac:dyDescent="0.35">
      <c r="A9" s="9" t="b">
        <v>0</v>
      </c>
    </row>
    <row r="10" spans="1:8" x14ac:dyDescent="0.35">
      <c r="A10" s="9" t="b">
        <v>0</v>
      </c>
    </row>
    <row r="11" spans="1:8" x14ac:dyDescent="0.35">
      <c r="A11" s="9" t="b">
        <v>0</v>
      </c>
    </row>
    <row r="12" spans="1:8" x14ac:dyDescent="0.35">
      <c r="A12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Welcome!</vt:lpstr>
      <vt:lpstr>Capacitors</vt:lpstr>
      <vt:lpstr>Connectors</vt:lpstr>
      <vt:lpstr>Crystals &amp; Oscillators</vt:lpstr>
      <vt:lpstr>Diodes</vt:lpstr>
      <vt:lpstr>Devices</vt:lpstr>
      <vt:lpstr>Ferrite Beads</vt:lpstr>
      <vt:lpstr>Fuses</vt:lpstr>
      <vt:lpstr>ICs</vt:lpstr>
      <vt:lpstr>Inductors</vt:lpstr>
      <vt:lpstr>LEDs</vt:lpstr>
      <vt:lpstr>Memory</vt:lpstr>
      <vt:lpstr>Misc Components</vt:lpstr>
      <vt:lpstr>Mounts, Pads, Vias</vt:lpstr>
      <vt:lpstr>MCUs</vt:lpstr>
      <vt:lpstr>Resistors</vt:lpstr>
      <vt:lpstr>Switches</vt:lpstr>
      <vt:lpstr>Test Points</vt:lpstr>
      <vt:lpstr>Transistors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MacGregor, Russell</cp:lastModifiedBy>
  <dcterms:created xsi:type="dcterms:W3CDTF">2026-02-05T20:24:51Z</dcterms:created>
  <dcterms:modified xsi:type="dcterms:W3CDTF">2026-05-21T16:35:23Z</dcterms:modified>
</cp:coreProperties>
</file>