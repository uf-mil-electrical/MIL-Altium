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russe\Repositories\MIL\MIL-Altium\"/>
    </mc:Choice>
  </mc:AlternateContent>
  <xr:revisionPtr revIDLastSave="0" documentId="13_ncr:1_{DB364E85-36F3-4680-B92F-F6C1D0BE1D01}" xr6:coauthVersionLast="47" xr6:coauthVersionMax="47" xr10:uidLastSave="{00000000-0000-0000-0000-000000000000}"/>
  <bookViews>
    <workbookView xWindow="-28920" yWindow="630" windowWidth="29040" windowHeight="15720" firstSheet="2" activeTab="5" xr2:uid="{78817FF2-1CC3-4A74-8C91-2AFFF0842C3F}"/>
  </bookViews>
  <sheets>
    <sheet name="Welcome!" sheetId="15" r:id="rId1"/>
    <sheet name="Capacitors" sheetId="1" r:id="rId2"/>
    <sheet name="Connectors" sheetId="9" r:id="rId3"/>
    <sheet name="Crystals &amp; Oscillators" sheetId="7" r:id="rId4"/>
    <sheet name="Diodes" sheetId="13" r:id="rId5"/>
    <sheet name="Devices" sheetId="16" r:id="rId6"/>
    <sheet name="Ferrite Beads" sheetId="10" r:id="rId7"/>
    <sheet name="Fuses" sheetId="8" r:id="rId8"/>
    <sheet name="ICs" sheetId="12" r:id="rId9"/>
    <sheet name="Inductors" sheetId="3" r:id="rId10"/>
    <sheet name="LEDs" sheetId="5" r:id="rId11"/>
    <sheet name="Misc Components" sheetId="14" r:id="rId12"/>
    <sheet name="MCUs" sheetId="6" r:id="rId13"/>
    <sheet name="Resistors" sheetId="2" r:id="rId14"/>
    <sheet name="Switches" sheetId="11" r:id="rId15"/>
    <sheet name="Voltage Regulators" sheetId="4" r:id="rId16"/>
  </sheets>
  <definedNames>
    <definedName name="_xlnm._FilterDatabase" localSheetId="1" hidden="1">'Capacitors'!$B$1:$I$9</definedName>
    <definedName name="_xlnm._FilterDatabase" localSheetId="0" hidden="1">'Welcome!'!$A$1:$A$15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4" i="2" l="1"/>
  <c r="C15" i="2"/>
  <c r="C16" i="2"/>
  <c r="C17" i="2"/>
  <c r="C18" i="2"/>
  <c r="C19" i="2"/>
  <c r="C20" i="2"/>
  <c r="C21" i="2"/>
  <c r="C22" i="2"/>
  <c r="C2" i="2"/>
  <c r="C3" i="2"/>
  <c r="C4" i="2"/>
  <c r="C5" i="2"/>
  <c r="C6" i="2"/>
  <c r="C7" i="2"/>
  <c r="C8" i="2"/>
  <c r="C9" i="2"/>
  <c r="C10" i="2"/>
  <c r="C11" i="2"/>
  <c r="C12" i="2"/>
  <c r="C13" i="2"/>
</calcChain>
</file>

<file path=xl/sharedStrings.xml><?xml version="1.0" encoding="utf-8"?>
<sst xmlns="http://schemas.openxmlformats.org/spreadsheetml/2006/main" count="434" uniqueCount="263">
  <si>
    <t>Capacitance</t>
  </si>
  <si>
    <t>Max Voltage</t>
  </si>
  <si>
    <t>Part Number</t>
  </si>
  <si>
    <t>Package</t>
  </si>
  <si>
    <t>Material</t>
  </si>
  <si>
    <t>0.1uF</t>
  </si>
  <si>
    <t>16V</t>
  </si>
  <si>
    <t>CC0603KRX7R7BB104</t>
  </si>
  <si>
    <t>Manufacturer Part Number</t>
  </si>
  <si>
    <t>0603</t>
  </si>
  <si>
    <t>Ceramic</t>
  </si>
  <si>
    <t>CL10A106KP8NNNC</t>
  </si>
  <si>
    <t>10uF</t>
  </si>
  <si>
    <t>10V</t>
  </si>
  <si>
    <t>GCM1885C2A150FA16D</t>
  </si>
  <si>
    <t>15pF</t>
  </si>
  <si>
    <t>100V</t>
  </si>
  <si>
    <t>GRM188R61E475KE11D</t>
  </si>
  <si>
    <t>4.7uF</t>
  </si>
  <si>
    <t>25V</t>
  </si>
  <si>
    <t>Color</t>
  </si>
  <si>
    <t>Green</t>
  </si>
  <si>
    <t>Dome</t>
  </si>
  <si>
    <t>Diffused</t>
  </si>
  <si>
    <t>LG R971-KN-1-0-20-R18</t>
  </si>
  <si>
    <t>0805</t>
  </si>
  <si>
    <t>Yellow</t>
  </si>
  <si>
    <t>LY R976-PS-36-0-20-R18</t>
  </si>
  <si>
    <t>Red</t>
  </si>
  <si>
    <t>LS R976-NR-1-0-20-R18</t>
  </si>
  <si>
    <t>150080BS75000</t>
  </si>
  <si>
    <t>Blue</t>
  </si>
  <si>
    <t>Trip Current</t>
  </si>
  <si>
    <t>Description</t>
  </si>
  <si>
    <t>PTC RESET FUSE 15V 500MA 1812</t>
  </si>
  <si>
    <t>500mA</t>
  </si>
  <si>
    <t>15V</t>
  </si>
  <si>
    <t>CONN HEADER VERT 10POS 2.54MM</t>
  </si>
  <si>
    <t>BHR-10-VUA</t>
  </si>
  <si>
    <t>CONN HEADER VERT 3POS 2.54MM</t>
  </si>
  <si>
    <t>0705430037</t>
  </si>
  <si>
    <t>0705430036</t>
  </si>
  <si>
    <t>CONN HEADER VERT 2POS 2.54MM</t>
  </si>
  <si>
    <t>0705430005</t>
  </si>
  <si>
    <t>CONN HEADER VERT 6POS 2.54MM</t>
  </si>
  <si>
    <t>Resistance</t>
  </si>
  <si>
    <t>MH2029-300Y</t>
  </si>
  <si>
    <t>Inductance</t>
  </si>
  <si>
    <t>10uH</t>
  </si>
  <si>
    <t>10 µH Unshielded Multilayer Inductor 90 mA 900mOhm Max 0603 (1608 Metric)</t>
  </si>
  <si>
    <t>BSCY00160808100MCP</t>
  </si>
  <si>
    <t>Tolerance</t>
  </si>
  <si>
    <t>Wattage</t>
  </si>
  <si>
    <t>5.1k</t>
  </si>
  <si>
    <t>1%</t>
  </si>
  <si>
    <t>RC0603FR-075K1L</t>
  </si>
  <si>
    <t>RES 5.1K OHM 1% 1/10W 0603</t>
  </si>
  <si>
    <t>MCT06030C2709FP500</t>
  </si>
  <si>
    <t>RES 27 OHM 1% 1/10W 0603</t>
  </si>
  <si>
    <t>RMCF0603FT1K00</t>
  </si>
  <si>
    <t>RES 1K OHM 1% 1/10W 0603</t>
  </si>
  <si>
    <t>1k</t>
  </si>
  <si>
    <t>RES 220 OHM 1% 1/10W 0603</t>
  </si>
  <si>
    <t>RC0603FR-07220RL</t>
  </si>
  <si>
    <t>RR0816Q-330-D</t>
  </si>
  <si>
    <t>RES SMD 33 OHM 0.5% 1/16W 0603</t>
  </si>
  <si>
    <t>0.5%</t>
  </si>
  <si>
    <t>1/16W</t>
  </si>
  <si>
    <t>ERA-3ARB202V</t>
  </si>
  <si>
    <t>RES SMD 2K OHM 0.1% 1/10W 0603</t>
  </si>
  <si>
    <t>2k</t>
  </si>
  <si>
    <t>0.1%</t>
  </si>
  <si>
    <t>Circuit</t>
  </si>
  <si>
    <t>Max current</t>
  </si>
  <si>
    <t>Max voltage</t>
  </si>
  <si>
    <t>SWITCH TACTILE SPST-NO 0.05A 24V</t>
  </si>
  <si>
    <t>SPST</t>
  </si>
  <si>
    <t>1825910-6</t>
  </si>
  <si>
    <t>0.05A</t>
  </si>
  <si>
    <t>24V</t>
  </si>
  <si>
    <t>MC14504BDTR2G</t>
  </si>
  <si>
    <t>IC XLTR VL UNIDIR 16-TSSOP</t>
  </si>
  <si>
    <t>Function</t>
  </si>
  <si>
    <t>Level shifter</t>
  </si>
  <si>
    <t>Name</t>
  </si>
  <si>
    <t>RP2350B</t>
  </si>
  <si>
    <t>SC1510-A4</t>
  </si>
  <si>
    <t>Type</t>
  </si>
  <si>
    <t>Linear</t>
  </si>
  <si>
    <t>Output Voltage</t>
  </si>
  <si>
    <t>3.3V</t>
  </si>
  <si>
    <t>AP7362A-33SP-13</t>
  </si>
  <si>
    <t>Max output current</t>
  </si>
  <si>
    <t>1.5A</t>
  </si>
  <si>
    <t>LM66200DRLR</t>
  </si>
  <si>
    <t>OR Controller N+1 ORing Controller N-Channel 2:1 SOT-583</t>
  </si>
  <si>
    <t>DX07S024JA1R1300</t>
  </si>
  <si>
    <t>CONN RCP USB3.1 TYPEC 24P SMD RA</t>
  </si>
  <si>
    <t>TB003-500-P03BE</t>
  </si>
  <si>
    <t>TERMINAL BLOCK, SCREW TYPE, 5.00</t>
  </si>
  <si>
    <t>Frequency</t>
  </si>
  <si>
    <t>Load Capacitance</t>
  </si>
  <si>
    <t>12MHz</t>
  </si>
  <si>
    <t>Crystal</t>
  </si>
  <si>
    <t>10pF</t>
  </si>
  <si>
    <t>ABM8-272-T3</t>
  </si>
  <si>
    <t>Mounting</t>
  </si>
  <si>
    <t>SMD</t>
  </si>
  <si>
    <t>CRYSTAL 12.0000MHZ 10PF SMD</t>
  </si>
  <si>
    <t>2.2uF</t>
  </si>
  <si>
    <t>50V</t>
  </si>
  <si>
    <t>UMK212BB7225KG-T</t>
  </si>
  <si>
    <t>CL21B104KBCNNNC</t>
  </si>
  <si>
    <t>47uF</t>
  </si>
  <si>
    <t>EEE-FN1A470UR</t>
  </si>
  <si>
    <t>4mm Dia</t>
  </si>
  <si>
    <t>Aluminum Electrolytic</t>
  </si>
  <si>
    <t>GRT21BR61H475KE13L</t>
  </si>
  <si>
    <t>Max Forward Current</t>
  </si>
  <si>
    <t>Mount</t>
  </si>
  <si>
    <t>Schottky</t>
  </si>
  <si>
    <t>40V</t>
  </si>
  <si>
    <t>Breakdown voltage</t>
  </si>
  <si>
    <t>3A</t>
  </si>
  <si>
    <t>Axial</t>
  </si>
  <si>
    <t>1N5822G</t>
  </si>
  <si>
    <t>PTC</t>
  </si>
  <si>
    <t>FUSE HOLDER BLADE 80V PCB</t>
  </si>
  <si>
    <t>178.6165.0002</t>
  </si>
  <si>
    <t>Thru-Hole</t>
  </si>
  <si>
    <t>MF-MSMF050-2</t>
  </si>
  <si>
    <t>ECS-MPIL0630-2R2MC</t>
  </si>
  <si>
    <t>FIXED IND 2.2UH 10A 15 MOHM SMD</t>
  </si>
  <si>
    <t>2.2uH</t>
  </si>
  <si>
    <t>RR1220P-102-D</t>
  </si>
  <si>
    <t>RES SMD 1K OHM 0.5% 1/10W 0805</t>
  </si>
  <si>
    <t>Potentiometer</t>
  </si>
  <si>
    <t>3386P-1-104LF</t>
  </si>
  <si>
    <t>TRIMMER 100K OHM 0.5W PC PIN TOP</t>
  </si>
  <si>
    <t>10k</t>
  </si>
  <si>
    <t>5%</t>
  </si>
  <si>
    <t>1/8W</t>
  </si>
  <si>
    <t>RC0805JR-0710KL</t>
  </si>
  <si>
    <t>RES 10K OHM 5% 1/8W 0805</t>
  </si>
  <si>
    <t>52.3k</t>
  </si>
  <si>
    <t>RC0805FR-0752K3L</t>
  </si>
  <si>
    <t>RES 52.3K OHM 1% 1/8W 0805</t>
  </si>
  <si>
    <t>Switching</t>
  </si>
  <si>
    <t>8A</t>
  </si>
  <si>
    <t>MAX20408AFOF/VY+</t>
  </si>
  <si>
    <t>0.8V-10V</t>
  </si>
  <si>
    <t>Buck Switching Regulator IC Positive Adjustable (Fixed) 0.8V (5V) 1 Output 8A 17-PowerWFQFN</t>
  </si>
  <si>
    <t>TB002-500-02BE</t>
  </si>
  <si>
    <t>Series / Family</t>
  </si>
  <si>
    <t>Screw Terminal</t>
  </si>
  <si>
    <t>USB-C</t>
  </si>
  <si>
    <t>Molex</t>
  </si>
  <si>
    <t>Gender (plug/port)</t>
  </si>
  <si>
    <t>Port</t>
  </si>
  <si>
    <t>Genderless</t>
  </si>
  <si>
    <t>Plug</t>
  </si>
  <si>
    <t>0050579402</t>
  </si>
  <si>
    <t>Mating Connector Part Number</t>
  </si>
  <si>
    <t>33pF</t>
  </si>
  <si>
    <t>CERAMIC RES 12.0000MHZ 33PF SMD</t>
  </si>
  <si>
    <t>Resonator</t>
  </si>
  <si>
    <t>CSTNE12M0GH5L000R0</t>
  </si>
  <si>
    <t>RES 10K OHM 1% 1/10W 0603</t>
  </si>
  <si>
    <t>RC0603FR-0710KL</t>
  </si>
  <si>
    <t>RES 220 OHM 1% 1/8W 0805</t>
  </si>
  <si>
    <t>CRGCQ0805F220R</t>
  </si>
  <si>
    <t>71609-308LF</t>
  </si>
  <si>
    <t>CONN RCPT 16POS 0.1 GOLD SMD R/A</t>
  </si>
  <si>
    <t>MCP2200T-I/SO</t>
  </si>
  <si>
    <t>IC USB 2.0 - UART 20SOIC</t>
  </si>
  <si>
    <t>Rectifier</t>
  </si>
  <si>
    <t>1000V</t>
  </si>
  <si>
    <t>1A</t>
  </si>
  <si>
    <t>DO-214AA</t>
  </si>
  <si>
    <t>S1MB-13-F</t>
  </si>
  <si>
    <t>Diode 1000 V 1A Surface Mount SMB</t>
  </si>
  <si>
    <t>0050579403</t>
  </si>
  <si>
    <t>Part Categories</t>
  </si>
  <si>
    <t>Capacitors</t>
  </si>
  <si>
    <t>Diodes</t>
  </si>
  <si>
    <t>Resistors</t>
  </si>
  <si>
    <t>Switches</t>
  </si>
  <si>
    <t>Inductors</t>
  </si>
  <si>
    <t>ICs</t>
  </si>
  <si>
    <t>Voltage Regulators</t>
  </si>
  <si>
    <t>LEDs</t>
  </si>
  <si>
    <t>MCUs</t>
  </si>
  <si>
    <t>Crystals &amp; Oscillators</t>
  </si>
  <si>
    <t>Fuses</t>
  </si>
  <si>
    <t>Connectors</t>
  </si>
  <si>
    <t>Ferrite Beads</t>
  </si>
  <si>
    <t>Mounting Type</t>
  </si>
  <si>
    <t>30 Ohms @ 100 MHz 1 Power, Signal Line Ferrite Bead 0805 (2012 Metric) 3A 25mOhm</t>
  </si>
  <si>
    <t>Mount Type</t>
  </si>
  <si>
    <t>1/10W</t>
  </si>
  <si>
    <t>Generic Pushbutton</t>
  </si>
  <si>
    <t>Welcome to the MIL Altium parts list!</t>
  </si>
  <si>
    <t>This spreadsheet contains the standard list of parts to be used for PCB designs. Each of these parts has been added to the standard Altium libraries found in this repo.</t>
  </si>
  <si>
    <t>Added to Altium?</t>
  </si>
  <si>
    <t>Nonpolarized</t>
  </si>
  <si>
    <t>Polarized</t>
  </si>
  <si>
    <t>Polarity</t>
  </si>
  <si>
    <t>Anderson</t>
  </si>
  <si>
    <t>N/A</t>
  </si>
  <si>
    <t>Right-Angle Wire-to-Board Connector</t>
  </si>
  <si>
    <t>Header</t>
  </si>
  <si>
    <t>No Series</t>
  </si>
  <si>
    <t>005057-9404</t>
  </si>
  <si>
    <t>70543-0003</t>
  </si>
  <si>
    <t>Notes</t>
  </si>
  <si>
    <t>3-18V, Unidirectional</t>
  </si>
  <si>
    <t>2.5A</t>
  </si>
  <si>
    <t>ORing (+5V)</t>
  </si>
  <si>
    <t>Bridge (USB 2.0-UART)</t>
  </si>
  <si>
    <t>SMD 7.4 x 6.6mm</t>
  </si>
  <si>
    <t>SMD 0603</t>
  </si>
  <si>
    <t># GPIO</t>
  </si>
  <si>
    <t>RP2350A</t>
  </si>
  <si>
    <t>SPI</t>
  </si>
  <si>
    <t>UART</t>
  </si>
  <si>
    <t>I2C</t>
  </si>
  <si>
    <t>PWM</t>
  </si>
  <si>
    <t>USB</t>
  </si>
  <si>
    <t>SC1509-A4</t>
  </si>
  <si>
    <t>Res (Raw)</t>
  </si>
  <si>
    <t>Operation</t>
  </si>
  <si>
    <t>Buck</t>
  </si>
  <si>
    <t>Input Voltage</t>
  </si>
  <si>
    <t>2.2V-5V</t>
  </si>
  <si>
    <t>Linear Voltage Regulator IC Positive Fixed 1 Output 1.5A 8-SO-EP</t>
  </si>
  <si>
    <t>3.0V-36V</t>
  </si>
  <si>
    <t>Non-LDO</t>
  </si>
  <si>
    <t>Misc Components</t>
  </si>
  <si>
    <t>M3 MountHole</t>
  </si>
  <si>
    <t>Default mount hole</t>
  </si>
  <si>
    <t>Buzzer (Passive)</t>
  </si>
  <si>
    <t>AI-1223-TWT-3V-2-R</t>
  </si>
  <si>
    <t>Buzzers Indicator, Internally Driven Electromechanical/Magnetic 3 V 30mA 2.3kHz 82dB @ 3V, 10cm Through Hole PC Pins</t>
  </si>
  <si>
    <t>RC0603FR-07100RL</t>
  </si>
  <si>
    <t>RES 100 OHM 1% 1/10W 0603</t>
  </si>
  <si>
    <t>D-Sub</t>
  </si>
  <si>
    <t>LD09S33E4GV00LF</t>
  </si>
  <si>
    <t>9 Position D-Sub Receptacle, Female Sockets Connector</t>
  </si>
  <si>
    <t># Pins</t>
  </si>
  <si>
    <t>For RS-232</t>
  </si>
  <si>
    <t>USB2.0-3.1</t>
  </si>
  <si>
    <t>Series</t>
  </si>
  <si>
    <t>Raspberry Pi</t>
  </si>
  <si>
    <t>Zero 2W</t>
  </si>
  <si>
    <t>Device</t>
  </si>
  <si>
    <t>Single Board Computer</t>
  </si>
  <si>
    <t>SBC RP Zero 2W</t>
  </si>
  <si>
    <t>Microprocessor</t>
  </si>
  <si>
    <t>Pico 2</t>
  </si>
  <si>
    <t>SC1631</t>
  </si>
  <si>
    <t>Pico 2 without headers</t>
  </si>
  <si>
    <t>Pi 5</t>
  </si>
  <si>
    <t>Pi 5 w/ active cooler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</si>
</sst>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8" tint="0.39997558519241921"/>
        <bgColor indexed="64"/>
      </patternFill>
    </fill>
    <fill>
      <patternFill patternType="solid">
        <fgColor rgb="FFC00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0" xfId="0" applyAlignment="1">
      <alignment wrapText="1"/>
    </xf>
    <xf numFmtId="49" fontId="0" fillId="0" borderId="0" xfId="0" applyNumberFormat="1" applyAlignment="1">
      <alignment wrapText="1"/>
    </xf>
    <xf numFmtId="49" fontId="0" fillId="0" borderId="0" xfId="0" applyNumberFormat="1"/>
    <xf numFmtId="0" fontId="0" fillId="0" borderId="0" xfId="0" quotePrefix="1"/>
    <xf numFmtId="9" fontId="0" fillId="0" borderId="0" xfId="0" applyNumberFormat="1"/>
    <xf numFmtId="0" fontId="0" fillId="0" borderId="0" xfId="0" applyAlignment="1">
      <alignment horizontal="center"/>
    </xf>
    <xf numFmtId="0" fontId="0" fillId="2" borderId="0" xfId="0" applyFill="1"/>
    <xf numFmtId="49" fontId="0" fillId="3" borderId="0" xfId="0" applyNumberFormat="1" applyFill="1"/>
    <xf numFmtId="0" fontId="0" fillId="0" borderId="0" xfId="0">
      <extLst>
        <ext xmlns:xfpb="http://schemas.microsoft.com/office/spreadsheetml/2022/featurepropertybag" uri="{C7286773-470A-42A8-94C5-96B5CB345126}">
          <xfpb:xfComplement i="0"/>
        </ext>
      </extLst>
    </xf>
    <xf numFmtId="49" fontId="0" fillId="0" borderId="0" xfId="0" applyNumberFormat="1">
      <extLst>
        <ext xmlns:xfpb="http://schemas.microsoft.com/office/spreadsheetml/2022/featurepropertybag" uri="{C7286773-470A-42A8-94C5-96B5CB345126}">
          <xfpb:xfComplement i="0"/>
        </ext>
      </extLst>
    </xf>
    <xf numFmtId="2" fontId="0" fillId="0" borderId="0" xfId="0" applyNumberFormat="1"/>
    <xf numFmtId="1" fontId="0" fillId="0" borderId="0" xfId="0" applyNumberFormat="1"/>
    <xf numFmtId="0" fontId="0" fillId="0" borderId="0" xfId="0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0" xfId="0" applyAlignment="1">
      <alignment vertical="center"/>
    </xf>
    <xf numFmtId="0" fontId="0" fillId="0" borderId="0" xfId="0" applyAlignment="1">
      <alignment horizontal="left"/>
    </xf>
    <xf numFmtId="49" fontId="0" fillId="0" borderId="0" xfId="0" applyNumberFormat="1" applyAlignment="1">
      <alignment horizontal="left"/>
    </xf>
    <xf numFmtId="0" fontId="0" fillId="0" borderId="0" xfId="0" applyAlignment="1">
      <alignment horizontal="left" wrapText="1"/>
    </xf>
    <xf numFmtId="49" fontId="0" fillId="0" borderId="0" xfId="0" applyNumberFormat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49" fontId="0" fillId="0" borderId="0" xfId="0" applyNumberFormat="1" applyAlignment="1">
      <alignment horizontal="center" vertical="center"/>
    </xf>
  </cellXfs>
  <cellStyles count="1">
    <cellStyle name="Normal" xfId="0" builtinId="0"/>
  </cellStyles>
  <dxfs count="61">
    <dxf>
      <extLst>
        <ext xmlns:xfpb="http://schemas.microsoft.com/office/spreadsheetml/2022/featurepropertybag" uri="{0417FA29-78FA-4A13-93AC-8FF0FAFDF519}">
          <xfpb:DXFComplement i="0"/>
        </ext>
      </extLst>
    </dxf>
    <dxf>
      <extLst>
        <ext xmlns:xfpb="http://schemas.microsoft.com/office/spreadsheetml/2022/featurepropertybag" uri="{0417FA29-78FA-4A13-93AC-8FF0FAFDF519}">
          <xfpb:DXFComplement i="1"/>
        </ext>
      </extLst>
    </dxf>
    <dxf>
      <alignment horizontal="center" vertical="bottom" textRotation="0" wrapText="0" indent="0" justifyLastLine="0" shrinkToFit="0" readingOrder="0"/>
    </dxf>
    <dxf>
      <extLst>
        <ext xmlns:xfpb="http://schemas.microsoft.com/office/spreadsheetml/2022/featurepropertybag" uri="{0417FA29-78FA-4A13-93AC-8FF0FAFDF519}">
          <xfpb:DXFComplement i="1"/>
        </ext>
      </extLst>
    </dxf>
    <dxf>
      <extLst>
        <ext xmlns:xfpb="http://schemas.microsoft.com/office/spreadsheetml/2022/featurepropertybag" uri="{0417FA29-78FA-4A13-93AC-8FF0FAFDF519}">
          <xfpb:DXFComplement i="1"/>
        </ext>
      </extLst>
    </dxf>
    <dxf>
      <numFmt numFmtId="30" formatCode="@"/>
      <alignment horizontal="left" vertical="bottom" textRotation="0" indent="0" justifyLastLine="0" shrinkToFit="0" readingOrder="0"/>
    </dxf>
    <dxf>
      <numFmt numFmtId="30" formatCode="@"/>
      <alignment horizontal="left" vertical="bottom" textRotation="0" indent="0" justifyLastLine="0" shrinkToFit="0" readingOrder="0"/>
    </dxf>
    <dxf>
      <numFmt numFmtId="30" formatCode="@"/>
      <alignment horizontal="left" vertical="bottom" textRotation="0" indent="0" justifyLastLine="0" shrinkToFit="0" readingOrder="0"/>
    </dxf>
    <dxf>
      <numFmt numFmtId="30" formatCode="@"/>
      <alignment horizontal="left" vertical="bottom" textRotation="0" indent="0" justifyLastLine="0" shrinkToFit="0" readingOrder="0"/>
    </dxf>
    <dxf>
      <numFmt numFmtId="30" formatCode="@"/>
      <alignment horizontal="left" vertical="bottom" textRotation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left" vertical="bottom" textRotation="0" indent="0" justifyLastLine="0" shrinkToFit="0" readingOrder="0"/>
    </dxf>
    <dxf>
      <numFmt numFmtId="0" formatCode="General"/>
      <alignment horizontal="left" vertical="bottom" textRotation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numFmt numFmtId="30" formatCode="@"/>
      <alignment horizontal="left" vertical="bottom" textRotation="0" indent="0" justifyLastLine="0" shrinkToFit="0" readingOrder="0"/>
    </dxf>
    <dxf>
      <numFmt numFmtId="30" formatCode="@"/>
      <fill>
        <patternFill patternType="solid">
          <fgColor indexed="64"/>
          <bgColor rgb="FFC00000"/>
        </patternFill>
      </fill>
    </dxf>
    <dxf>
      <alignment horizontal="general" vertical="center" textRotation="0" indent="0" justifyLastLine="0" shrinkToFit="0" readingOrder="0"/>
    </dxf>
    <dxf>
      <alignment horizontal="general" vertical="center" textRotation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indent="0" justifyLastLine="0" shrinkToFit="0" readingOrder="0"/>
    </dxf>
    <dxf>
      <alignment horizontal="general" vertical="center" textRotation="0" indent="0" justifyLastLine="0" shrinkToFit="0" readingOrder="0"/>
    </dxf>
    <dxf>
      <alignment horizontal="general" vertical="center" textRotation="0" indent="0" justifyLastLine="0" shrinkToFit="0" readingOrder="0"/>
      <extLst>
        <ext xmlns:xfpb="http://schemas.microsoft.com/office/spreadsheetml/2022/featurepropertybag" uri="{0417FA29-78FA-4A13-93AC-8FF0FAFDF519}">
          <xfpb:DXFComplement i="1"/>
        </ext>
      </extLst>
    </dxf>
    <dxf>
      <alignment horizontal="general" vertical="center" textRotation="0" indent="0" justifyLastLine="0" shrinkToFit="0" readingOrder="0"/>
    </dxf>
    <dxf>
      <alignment horizontal="general" vertical="center" textRotation="0" indent="0" justifyLastLine="0" shrinkToFit="0" readingOrder="0"/>
    </dxf>
    <dxf>
      <extLst>
        <ext xmlns:xfpb="http://schemas.microsoft.com/office/spreadsheetml/2022/featurepropertybag" uri="{0417FA29-78FA-4A13-93AC-8FF0FAFDF519}">
          <xfpb:DXFComplement i="1"/>
        </ext>
      </extLst>
    </dxf>
    <dxf>
      <numFmt numFmtId="30" formatCode="@"/>
    </dxf>
    <dxf>
      <extLst>
        <ext xmlns:xfpb="http://schemas.microsoft.com/office/spreadsheetml/2022/featurepropertybag" uri="{0417FA29-78FA-4A13-93AC-8FF0FAFDF519}">
          <xfpb:DXFComplement i="1"/>
        </ext>
      </extLst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extLst>
        <ext xmlns:xfpb="http://schemas.microsoft.com/office/spreadsheetml/2022/featurepropertybag" uri="{0417FA29-78FA-4A13-93AC-8FF0FAFDF519}">
          <xfpb:DXFComplement i="1"/>
        </ext>
      </extLst>
    </dxf>
    <dxf>
      <extLst>
        <ext xmlns:xfpb="http://schemas.microsoft.com/office/spreadsheetml/2022/featurepropertybag" uri="{0417FA29-78FA-4A13-93AC-8FF0FAFDF519}">
          <xfpb:DXFComplement i="1"/>
        </ext>
      </extLst>
    </dxf>
    <dxf>
      <extLst>
        <ext xmlns:xfpb="http://schemas.microsoft.com/office/spreadsheetml/2022/featurepropertybag" uri="{0417FA29-78FA-4A13-93AC-8FF0FAFDF519}">
          <xfpb:DXFComplement i="1"/>
        </ext>
      </extLst>
    </dxf>
    <dxf>
      <extLst>
        <ext xmlns:xfpb="http://schemas.microsoft.com/office/spreadsheetml/2022/featurepropertybag" uri="{0417FA29-78FA-4A13-93AC-8FF0FAFDF519}">
          <xfpb:DXFComplement i="1"/>
        </ext>
      </extLst>
    </dxf>
    <dxf>
      <fill>
        <patternFill patternType="solid">
          <fgColor indexed="64"/>
          <bgColor theme="8" tint="0.39997558519241921"/>
        </patternFill>
      </fill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  <extLst>
        <ext xmlns:xfpb="http://schemas.microsoft.com/office/spreadsheetml/2022/featurepropertybag" uri="{0417FA29-78FA-4A13-93AC-8FF0FAFDF519}">
          <xfpb:DXFComplement i="1"/>
        </ext>
      </extLst>
    </dxf>
    <dxf>
      <numFmt numFmtId="30" formatCode="@"/>
    </dxf>
    <dxf>
      <extLst>
        <ext xmlns:xfpb="http://schemas.microsoft.com/office/spreadsheetml/2022/featurepropertybag" uri="{0417FA29-78FA-4A13-93AC-8FF0FAFDF519}">
          <xfpb:DXFComplement i="1"/>
        </ext>
      </extLst>
    </dxf>
    <dxf>
      <alignment horizontal="center" vertical="bottom" textRotation="0" wrapText="0" indent="0" justifyLastLine="0" shrinkToFit="0" readingOrder="0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1" formatCode="0"/>
    </dxf>
    <dxf>
      <numFmt numFmtId="30" formatCode="@"/>
    </dxf>
    <dxf>
      <numFmt numFmtId="30" formatCode="@"/>
      <extLst>
        <ext xmlns:xfpb="http://schemas.microsoft.com/office/spreadsheetml/2022/featurepropertybag" uri="{0417FA29-78FA-4A13-93AC-8FF0FAFDF519}">
          <xfpb:DXFComplement i="1"/>
        </ext>
      </extLst>
    </dxf>
    <dxf>
      <numFmt numFmtId="30" formatCode="@"/>
    </dxf>
    <dxf>
      <numFmt numFmtId="30" formatCode="@"/>
    </dxf>
    <dxf>
      <numFmt numFmtId="30" formatCode="@"/>
    </dxf>
    <dxf>
      <extLst>
        <ext xmlns:xfpb="http://schemas.microsoft.com/office/spreadsheetml/2022/featurepropertybag" uri="{0417FA29-78FA-4A13-93AC-8FF0FAFDF519}">
          <xfpb:DXFComplement i="1"/>
        </ext>
      </extLs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microsoft.com/office/2022/11/relationships/FeaturePropertyBag" Target="featurePropertyBag/featurePropertyBag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  <bag type="XFControls"/>
  <bag type="XFComplement">
    <bagId k="XFControls">4</bagId>
  </bag>
  <bag type="DXFComplements" extRef="DXFComplementsMapperExtRef">
    <a k="MappedFeaturePropertyBags">
      <bagId>5</bagId>
      <bagId>2</bagId>
    </a>
  </bag>
</FeaturePropertyBag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6640DDE-A600-4D40-886A-D93F6DB5FAB3}" name="Capacitors" displayName="Capacitors" ref="A1:I26" totalsRowShown="0">
  <autoFilter ref="A1:I26" xr:uid="{66640DDE-A600-4D40-886A-D93F6DB5FAB3}"/>
  <tableColumns count="9">
    <tableColumn id="8" xr3:uid="{B97E7FE0-D68A-4659-9DE5-965B7C74FB58}" name="Added to Altium?" dataDxfId="60"/>
    <tableColumn id="1" xr3:uid="{BDC3005D-8889-49B9-B05B-9B4FB822D92C}" name="Capacitance"/>
    <tableColumn id="2" xr3:uid="{204119AE-0485-4922-A3C8-7CDD048C63F5}" name="Package"/>
    <tableColumn id="3" xr3:uid="{13A5BE24-7E3B-42A7-BB30-CF0EA6F4873D}" name="Max Voltage"/>
    <tableColumn id="4" xr3:uid="{D4BF488D-A80E-4525-A0D1-501D554CEDF7}" name="Tolerance"/>
    <tableColumn id="5" xr3:uid="{08BCE889-36CA-4A02-9976-7D80BAE9681D}" name="Mounting Type" dataDxfId="59"/>
    <tableColumn id="9" xr3:uid="{B82114B5-A4D9-4327-9F80-0D9587A64062}" name="Polarity" dataDxfId="58"/>
    <tableColumn id="6" xr3:uid="{31CBAF16-36EA-4251-9AC8-58F6F46900E9}" name="Material"/>
    <tableColumn id="7" xr3:uid="{571D64FC-0F67-4FD0-B071-89D71A56F7C6}" name="Manufacturer Part Number"/>
  </tableColumns>
  <tableStyleInfo name="TableStyleMedium5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090E628-1F8E-4CB3-BC5C-768E76CEFDDC}" name="Connectors" displayName="Connectors" ref="A1:H30" totalsRowShown="0" headerRowDxfId="57">
  <autoFilter ref="A1:H30" xr:uid="{7090E628-1F8E-4CB3-BC5C-768E76CEFDDC}"/>
  <sortState xmlns:xlrd2="http://schemas.microsoft.com/office/spreadsheetml/2017/richdata2" ref="A2:H30">
    <sortCondition ref="B1:B30"/>
  </sortState>
  <tableColumns count="8">
    <tableColumn id="7" xr3:uid="{CE9E315A-1702-4F78-8ECF-1DA1A2B792AA}" name="Added to Altium?" dataDxfId="56"/>
    <tableColumn id="1" xr3:uid="{D5AE5A29-FEF0-4556-97F0-002479587894}" name="Series / Family" dataDxfId="55"/>
    <tableColumn id="2" xr3:uid="{8673F73F-EA18-4F48-837C-C3D933082CD8}" name="# Pins" dataDxfId="54"/>
    <tableColumn id="3" xr3:uid="{F61E1994-58CD-4ECF-A835-1786BECF70C2}" name="Gender (plug/port)" dataDxfId="53"/>
    <tableColumn id="4" xr3:uid="{ADD992CB-74CD-4839-9C1F-4CA1C98DDDE6}" name="Part Number" dataDxfId="52"/>
    <tableColumn id="8" xr3:uid="{0052054B-61D9-4444-933B-4830DE18EF5D}" name="Mating Connector Part Number" dataDxfId="51"/>
    <tableColumn id="9" xr3:uid="{DF57140F-10E9-43CB-BE16-5AB59D2592F7}" name="Notes" dataDxfId="50"/>
    <tableColumn id="5" xr3:uid="{E04857DF-CEB1-4D64-87C3-2580C252E44F}" name="Description" dataDxfId="49"/>
  </tableColumns>
  <tableStyleInfo name="TableStyleMedium2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3F12269-0E76-48CC-8091-7DF9E8B2B894}" name="XTALs_and_XOSCs" displayName="XTALs_and_XOSCs" ref="A1:G1048575" totalsRowShown="0">
  <autoFilter ref="A1:G1048575" xr:uid="{43F12269-0E76-48CC-8091-7DF9E8B2B894}"/>
  <tableColumns count="7">
    <tableColumn id="7" xr3:uid="{D0EBBD8D-51DB-4E67-899C-2B8142CB6CCB}" name="Added to Altium?"/>
    <tableColumn id="1" xr3:uid="{765BC975-3EE7-469C-9333-E1FCDABB603D}" name="Frequency"/>
    <tableColumn id="2" xr3:uid="{66DD91D2-5F51-49CF-92CF-17CDB97E3CD8}" name="Type"/>
    <tableColumn id="3" xr3:uid="{228CF721-7ED2-425C-9E3B-C355B3C6E7DB}" name="Load Capacitance"/>
    <tableColumn id="4" xr3:uid="{6FE98D61-048E-4E12-88E6-4AC48A05C121}" name="Mounting"/>
    <tableColumn id="5" xr3:uid="{555890C1-885E-49C4-95D7-AF304132940E}" name="Part Number"/>
    <tableColumn id="6" xr3:uid="{1D40F85A-33F1-4FC2-B058-3EAE632B682C}" name="Description"/>
  </tableColumns>
  <tableStyleInfo name="TableStyleMedium20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AC1B69C7-59BA-492E-BEF3-378F8F5A5F42}" name="Diodes" displayName="Diodes" ref="A1:G7" totalsRowShown="0" headerRowDxfId="48">
  <autoFilter ref="A1:G7" xr:uid="{AC1B69C7-59BA-492E-BEF3-378F8F5A5F42}"/>
  <tableColumns count="7">
    <tableColumn id="7" xr3:uid="{373BF80E-AE0E-45C8-9A43-A9D96680B6E9}" name="Added to Altium?" dataDxfId="47"/>
    <tableColumn id="1" xr3:uid="{3176E398-8316-4079-97C6-E10CED1CC775}" name="Type"/>
    <tableColumn id="2" xr3:uid="{DFDAC67A-8333-4623-A218-F2BB6C8E25E6}" name="Breakdown voltage"/>
    <tableColumn id="3" xr3:uid="{3A72F6DE-D147-42DD-9C1C-BA3A3545DE11}" name="Max Forward Current"/>
    <tableColumn id="4" xr3:uid="{F22F5C42-5634-4AAD-A267-60DD814F054A}" name="Mount"/>
    <tableColumn id="5" xr3:uid="{181DC390-2120-46F7-9ECA-AEE686154CC2}" name="Part Number"/>
    <tableColumn id="6" xr3:uid="{C0E57478-74C4-4270-9ACE-76D0D4BB0DB3}" name="Description"/>
  </tableColumns>
  <tableStyleInfo name="TableStyleMedium1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5737D88-F4D8-4117-9BA5-1B2CC31DE11A}" name="Diodes3" displayName="Diodes3" ref="A1:F7" totalsRowShown="0" headerRowDxfId="2">
  <autoFilter ref="A1:F7" xr:uid="{C5737D88-F4D8-4117-9BA5-1B2CC31DE11A}"/>
  <tableColumns count="6">
    <tableColumn id="7" xr3:uid="{6415E46E-CEE3-460F-B779-529E15CD07B6}" name="Added to Altium?" dataDxfId="1"/>
    <tableColumn id="8" xr3:uid="{A1AE6712-2A25-444F-8418-5CCFC5CDB835}" name="Series" dataDxfId="0"/>
    <tableColumn id="9" xr3:uid="{6F530F3C-B40B-43DA-AB86-21341EB4DAD1}" name="Device"/>
    <tableColumn id="1" xr3:uid="{4AA09E23-76BE-4EAC-BAB7-D19DB7FEF15D}" name="Type"/>
    <tableColumn id="5" xr3:uid="{79DDF2A7-4DA6-48DB-8655-801CD7025B51}" name="Part Number"/>
    <tableColumn id="6" xr3:uid="{98E5662B-B2A3-45B4-838E-850C8F451D59}" name="Description"/>
  </tableColumns>
  <tableStyleInfo name="TableStyleMedium20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EE7552C4-F486-457F-A2F8-480493B7351C}" name="Table6" displayName="Table6" ref="A1:E11" totalsRowShown="0" headerRowDxfId="46">
  <autoFilter ref="A1:E11" xr:uid="{EE7552C4-F486-457F-A2F8-480493B7351C}"/>
  <tableColumns count="5">
    <tableColumn id="5" xr3:uid="{7A1ACCA6-7C12-421C-A8B0-DAF52C5B82F1}" name="Added to Altium?" dataDxfId="45"/>
    <tableColumn id="1" xr3:uid="{29766E43-A003-4F30-8FBC-98197408FA6D}" name="Part Number" dataDxfId="44"/>
    <tableColumn id="2" xr3:uid="{9E0E83BD-C619-4B71-B8D8-093D6B07D9D5}" name="Package" dataDxfId="43"/>
    <tableColumn id="3" xr3:uid="{6C643D04-D582-419C-9C7F-1B57D4315CFE}" name="Resistance" dataDxfId="42"/>
    <tableColumn id="4" xr3:uid="{67D14711-9F21-4BBC-9182-15BB5F898016}" name="Description" dataDxfId="41"/>
  </tableColumns>
  <tableStyleInfo name="TableStyleMedium16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53E52592-BBF3-4884-BA3C-21683DC4F0F1}" name="Fuses" displayName="Fuses" ref="A1:G10" totalsRowShown="0" headerRowDxfId="40">
  <autoFilter ref="A1:G10" xr:uid="{53E52592-BBF3-4884-BA3C-21683DC4F0F1}"/>
  <tableColumns count="7">
    <tableColumn id="7" xr3:uid="{9030A4FE-0A13-4A65-8271-CB2306DED874}" name="Added to Altium?" dataDxfId="39"/>
    <tableColumn id="8" xr3:uid="{7A093B6F-93A8-4A04-9A40-8451BE8854E4}" name="Type" dataDxfId="38"/>
    <tableColumn id="1" xr3:uid="{5D9981C8-F221-4013-A9BA-4E5BF3474E5D}" name="Trip Current"/>
    <tableColumn id="2" xr3:uid="{494ED5E9-E1DA-4E76-9EAF-806837FCC14C}" name="Package"/>
    <tableColumn id="3" xr3:uid="{7EDCBE59-D502-4146-84D0-ACB598015CAD}" name="Max Voltage"/>
    <tableColumn id="5" xr3:uid="{9FC9BA3F-0AA8-4AE4-B9F4-9638DD107480}" name="Part Number"/>
    <tableColumn id="6" xr3:uid="{263D9E9D-F699-4823-9F3E-12D298CD432D}" name="Description"/>
  </tableColumns>
  <tableStyleInfo name="TableStyleMedium16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CF6FA6FB-E17E-44DE-A790-4DB35B6C38E6}" name="ICs" displayName="ICs" ref="A1:E10" totalsRowShown="0">
  <autoFilter ref="A1:E10" xr:uid="{CF6FA6FB-E17E-44DE-A790-4DB35B6C38E6}"/>
  <tableColumns count="5">
    <tableColumn id="4" xr3:uid="{2DF829CD-290D-41D3-B284-4B22DE33C4AA}" name="Added to Altium?" dataDxfId="37"/>
    <tableColumn id="5" xr3:uid="{0460994E-DB61-407B-B7D3-3CAA8ED4BC9D}" name="Function" dataDxfId="36"/>
    <tableColumn id="6" xr3:uid="{F86F95F1-F9FE-4146-B379-63E1029BD91F}" name="Notes"/>
    <tableColumn id="1" xr3:uid="{B62DE98C-40C5-4F02-871A-56E6F423B932}" name="Part Number"/>
    <tableColumn id="3" xr3:uid="{613F07FA-6CA3-413B-A8EC-C111F4721AB4}" name="Description"/>
  </tableColumns>
  <tableStyleInfo name="TableStyleMedium17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8788865D-3714-4394-BD76-99FF24EF6888}" name="Inductors" displayName="Inductors" ref="A1:E11" totalsRowShown="0" headerRowDxfId="35">
  <autoFilter ref="A1:E11" xr:uid="{8788865D-3714-4394-BD76-99FF24EF6888}"/>
  <tableColumns count="5">
    <tableColumn id="5" xr3:uid="{67CA846A-F07D-4034-8F63-B4E47CA7F931}" name="Added to Altium?" dataDxfId="34"/>
    <tableColumn id="1" xr3:uid="{EBC427FC-C649-421F-A511-F4C6E090217A}" name="Inductance" dataDxfId="33"/>
    <tableColumn id="2" xr3:uid="{57FAF0ED-182E-4A05-89A5-EE5FE9CF2C31}" name="Package" dataDxfId="32"/>
    <tableColumn id="3" xr3:uid="{5B4ACDCC-FB26-4063-91C8-D6D43ABD7134}" name="Part Number" dataDxfId="31"/>
    <tableColumn id="4" xr3:uid="{CFE06357-AAEA-49E4-8ED8-14478316C7C8}" name="Description" dataDxfId="30"/>
  </tableColumns>
  <tableStyleInfo name="TableStyleMedium19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C732A860-4A42-46A7-A5FA-C00091FE4BA3}" name="LEDs" displayName="LEDs" ref="A1:G10" totalsRowShown="0">
  <autoFilter ref="A1:G10" xr:uid="{C732A860-4A42-46A7-A5FA-C00091FE4BA3}"/>
  <tableColumns count="7">
    <tableColumn id="7" xr3:uid="{B2E48D06-BAB0-4133-877E-867AB2EC32E9}" name="Added to Altium?" dataDxfId="29"/>
    <tableColumn id="1" xr3:uid="{727DF6C0-6BC9-4CBC-ACBD-F7D7801F3DED}" name="Color"/>
    <tableColumn id="6" xr3:uid="{2F89F121-2031-4E76-8B64-C6BE1AC4E5A7}" name="Mount Type"/>
    <tableColumn id="2" xr3:uid="{59EEDA5E-A95B-4620-BC5E-79C5C5FB8AFC}" name="Package" dataDxfId="28"/>
    <tableColumn id="3" xr3:uid="{95A3DF17-FA71-419C-9869-87ACAC774187}" name="Dome"/>
    <tableColumn id="4" xr3:uid="{30ACC022-FAF3-44FA-97E2-DA5C989B54D7}" name="Part Number"/>
    <tableColumn id="5" xr3:uid="{BDED051F-FA40-461B-85BB-40EDC316E70C}" name="Description"/>
  </tableColumns>
  <tableStyleInfo name="TableStyleMedium21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7B88261C-6B3D-4539-9169-7D9FC231B64A}" name="Misc" displayName="Misc" ref="A1:D13" totalsRowShown="0">
  <autoFilter ref="A1:D13" xr:uid="{7B88261C-6B3D-4539-9169-7D9FC231B64A}"/>
  <tableColumns count="4">
    <tableColumn id="4" xr3:uid="{6C04560D-813B-4E79-B81B-87E653E3F958}" name="Added to Altium?" dataDxfId="27"/>
    <tableColumn id="1" xr3:uid="{07652CF2-D7CA-452D-A87D-CEBA35FEC12A}" name="Function"/>
    <tableColumn id="2" xr3:uid="{A9FCB299-A552-4123-B45A-F31F0DC5BB9B}" name="Part Number"/>
    <tableColumn id="3" xr3:uid="{2F50D30B-F60A-4BAF-AE6D-0A3909047904}" name="Description"/>
  </tableColumns>
  <tableStyleInfo name="TableStyleMedium16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9DA4F768-7F47-4563-8367-8C9704917FC2}" name="MCUs" displayName="MCUs" ref="A1:J11" totalsRowShown="0" headerRowDxfId="26" dataDxfId="25">
  <autoFilter ref="A1:J11" xr:uid="{9DA4F768-7F47-4563-8367-8C9704917FC2}"/>
  <sortState xmlns:xlrd2="http://schemas.microsoft.com/office/spreadsheetml/2017/richdata2" ref="A2:J11">
    <sortCondition ref="B1:B11"/>
  </sortState>
  <tableColumns count="10">
    <tableColumn id="7" xr3:uid="{B7904B75-EB47-4AE0-AC16-835BCD406E73}" name="Added to Altium?" dataDxfId="24"/>
    <tableColumn id="1" xr3:uid="{0881C807-AE0D-4E97-942D-F1BB4BC72740}" name="Name" dataDxfId="23"/>
    <tableColumn id="3" xr3:uid="{FF11C1E0-268B-4AB9-A529-8334EF2C69FD}" name="# GPIO" dataDxfId="22"/>
    <tableColumn id="8" xr3:uid="{55162BE7-C291-4B9F-ABE8-A7DE102A5A2F}" name="UART" dataDxfId="21"/>
    <tableColumn id="9" xr3:uid="{12871EC5-67F1-442C-B9F6-E715FA2B13DA}" name="SPI" dataDxfId="20"/>
    <tableColumn id="10" xr3:uid="{0676FDA2-81C4-49A9-A3D1-DEE7F28D8014}" name="I2C" dataDxfId="19"/>
    <tableColumn id="11" xr3:uid="{4D86DECE-60FC-46A0-B57F-AB144D9C1459}" name="PWM" dataDxfId="18"/>
    <tableColumn id="12" xr3:uid="{F498CA82-C855-4B59-BFFB-E076763E2C7B}" name="USB" dataDxfId="17"/>
    <tableColumn id="6" xr3:uid="{1C8B55E3-7B48-484B-9DEC-D60D33855BF8}" name="Part Number" dataDxfId="16"/>
    <tableColumn id="5" xr3:uid="{EB01044E-239A-43EB-B0C2-1F87DDB54160}" name="Description" dataDxfId="15"/>
  </tableColumns>
  <tableStyleInfo name="TableStyleMedium16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FE99B236-7512-4792-AE6E-EED4D7BDA003}" name="Resistors" displayName="Resistors" ref="A1:H22" totalsRowShown="0" headerRowDxfId="14" dataDxfId="13">
  <autoFilter ref="A1:H22" xr:uid="{FE99B236-7512-4792-AE6E-EED4D7BDA003}"/>
  <sortState xmlns:xlrd2="http://schemas.microsoft.com/office/spreadsheetml/2017/richdata2" ref="A2:H22">
    <sortCondition ref="C1:C22"/>
  </sortState>
  <tableColumns count="8">
    <tableColumn id="8" xr3:uid="{5CCC4BAB-E9A7-42D2-BFCF-40A14E4FCFB3}" name="Added to Altium?" dataDxfId="12"/>
    <tableColumn id="1" xr3:uid="{E2BB1AD3-36C9-4D80-8A78-E46D0D28B43D}" name="Resistance" dataDxfId="11"/>
    <tableColumn id="7" xr3:uid="{C2F2285A-BFA3-4714-8945-6FE63C9CDE81}" name="Res (Raw)" dataDxfId="10">
      <calculatedColumnFormula>IF(ISNUMBER(B2),
IF(B2=0,"",B2),
VALUE(LEFT(B2,LEN(B2)-1))*
IF(RIGHT(B2,1)="k",1000,
IF(RIGHT(B2,1)="M",1000000,
IF(RIGHT(B2,1)="m",0.001,1))))</calculatedColumnFormula>
    </tableColumn>
    <tableColumn id="2" xr3:uid="{67EED117-D01D-4FE8-BB40-D7D8F55BAB48}" name="Tolerance" dataDxfId="9"/>
    <tableColumn id="3" xr3:uid="{F1269AFE-5CA5-4F00-93B8-6023E945504D}" name="Package" dataDxfId="8"/>
    <tableColumn id="4" xr3:uid="{A4374340-1758-433F-80B6-83ABF6D97E11}" name="Wattage" dataDxfId="7"/>
    <tableColumn id="5" xr3:uid="{7C53E4E9-C23D-4482-9A46-441AB8A4E1B1}" name="Part Number" dataDxfId="6"/>
    <tableColumn id="6" xr3:uid="{BD8216A4-1B75-4738-A589-0D33231AD075}" name="Description" dataDxfId="5"/>
  </tableColumns>
  <tableStyleInfo name="TableStyleMedium17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EA8CC69A-B6DA-4750-BA77-538662D89C27}" name="Switches" displayName="Switches" ref="A1:G11" totalsRowShown="0">
  <autoFilter ref="A1:G11" xr:uid="{EA8CC69A-B6DA-4750-BA77-538662D89C27}"/>
  <tableColumns count="7">
    <tableColumn id="7" xr3:uid="{AC77A4FF-3DCF-4737-ACB4-F75821B19F57}" name="Added to Altium?" dataDxfId="4"/>
    <tableColumn id="1" xr3:uid="{C868B851-3D2D-4863-96B3-5412E9A862E1}" name="Function"/>
    <tableColumn id="6" xr3:uid="{D6EA3AC7-CEF9-4E2A-800B-297C8C002273}" name="Circuit"/>
    <tableColumn id="2" xr3:uid="{5048C5E7-258E-4EC2-B0BD-C338C4D84C91}" name="Part Number"/>
    <tableColumn id="3" xr3:uid="{0D337D86-0859-4D90-9F43-C064034FE63F}" name="Max current"/>
    <tableColumn id="4" xr3:uid="{2AC9D317-AD0F-4B1A-AC45-E47C43700174}" name="Max voltage"/>
    <tableColumn id="5" xr3:uid="{7E9A2315-9AC6-4F51-9601-06AC033BD76D}" name="Description"/>
  </tableColumns>
  <tableStyleInfo name="TableStyleMedium16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82CFED5E-627B-4A23-9BFA-C489CEA32F25}" name="Voltage_Regulators" displayName="Voltage_Regulators" ref="A1:H12" totalsRowShown="0">
  <autoFilter ref="A1:H12" xr:uid="{82CFED5E-627B-4A23-9BFA-C489CEA32F25}"/>
  <tableColumns count="8">
    <tableColumn id="3" xr3:uid="{DD7A1A9A-DE5A-4766-9947-A308E87BA7FD}" name="Added to Altium?" dataDxfId="3"/>
    <tableColumn id="1" xr3:uid="{7B7659A2-8D22-4954-B10E-C811D8D29B99}" name="Type"/>
    <tableColumn id="7" xr3:uid="{24DD5DAD-1853-4138-AB66-BA5667E60D26}" name="Operation"/>
    <tableColumn id="8" xr3:uid="{C0E1C407-BC33-4018-B09E-15A16329D7C6}" name="Input Voltage"/>
    <tableColumn id="2" xr3:uid="{1B401263-31AB-4380-A4FD-B256C750FA0B}" name="Output Voltage"/>
    <tableColumn id="4" xr3:uid="{5B3C6EDD-81A6-41AD-B149-C2BF3585E802}" name="Max output current"/>
    <tableColumn id="6" xr3:uid="{B16EED48-4D3D-4D5C-88EC-B23C579A8E2D}" name="Part Number"/>
    <tableColumn id="5" xr3:uid="{58F36E9E-E2F2-4DE5-B2DC-96C9F966EEF9}" name="Description"/>
  </tableColumns>
  <tableStyleInfo name="TableStyleMedium20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3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5C0DF8-5BF3-479E-80E4-3D5C9FD854ED}">
  <sheetPr>
    <tabColor rgb="FF00B050"/>
  </sheetPr>
  <dimension ref="A1:D15"/>
  <sheetViews>
    <sheetView workbookViewId="0">
      <selection activeCell="A13" sqref="A13"/>
    </sheetView>
  </sheetViews>
  <sheetFormatPr defaultRowHeight="14.5" x14ac:dyDescent="0.35"/>
  <sheetData>
    <row r="1" spans="1:4" x14ac:dyDescent="0.35">
      <c r="A1" t="s">
        <v>182</v>
      </c>
    </row>
    <row r="2" spans="1:4" x14ac:dyDescent="0.35">
      <c r="A2" t="s">
        <v>183</v>
      </c>
    </row>
    <row r="3" spans="1:4" x14ac:dyDescent="0.35">
      <c r="A3" t="s">
        <v>194</v>
      </c>
      <c r="D3" t="s">
        <v>201</v>
      </c>
    </row>
    <row r="4" spans="1:4" x14ac:dyDescent="0.35">
      <c r="A4" t="s">
        <v>192</v>
      </c>
    </row>
    <row r="5" spans="1:4" x14ac:dyDescent="0.35">
      <c r="A5" t="s">
        <v>184</v>
      </c>
      <c r="D5" t="s">
        <v>202</v>
      </c>
    </row>
    <row r="6" spans="1:4" x14ac:dyDescent="0.35">
      <c r="A6" t="s">
        <v>195</v>
      </c>
    </row>
    <row r="7" spans="1:4" x14ac:dyDescent="0.35">
      <c r="A7" t="s">
        <v>193</v>
      </c>
    </row>
    <row r="8" spans="1:4" x14ac:dyDescent="0.35">
      <c r="A8" t="s">
        <v>188</v>
      </c>
    </row>
    <row r="9" spans="1:4" x14ac:dyDescent="0.35">
      <c r="A9" t="s">
        <v>187</v>
      </c>
    </row>
    <row r="10" spans="1:4" x14ac:dyDescent="0.35">
      <c r="A10" t="s">
        <v>190</v>
      </c>
    </row>
    <row r="11" spans="1:4" x14ac:dyDescent="0.35">
      <c r="A11" t="s">
        <v>191</v>
      </c>
    </row>
    <row r="12" spans="1:4" x14ac:dyDescent="0.35">
      <c r="A12" t="s">
        <v>237</v>
      </c>
    </row>
    <row r="13" spans="1:4" x14ac:dyDescent="0.35">
      <c r="A13" t="s">
        <v>185</v>
      </c>
    </row>
    <row r="14" spans="1:4" x14ac:dyDescent="0.35">
      <c r="A14" t="s">
        <v>186</v>
      </c>
    </row>
    <row r="15" spans="1:4" x14ac:dyDescent="0.35">
      <c r="A15" t="s">
        <v>189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4DDF4D-1E9D-4C12-BB94-6E06CEFC760F}">
  <dimension ref="A1:I26"/>
  <sheetViews>
    <sheetView zoomScale="118" workbookViewId="0">
      <selection activeCell="B11" sqref="B11"/>
    </sheetView>
  </sheetViews>
  <sheetFormatPr defaultColWidth="0" defaultRowHeight="14.5" zeroHeight="1" x14ac:dyDescent="0.35"/>
  <cols>
    <col min="1" max="1" width="17.26953125" customWidth="1"/>
    <col min="2" max="3" width="14.36328125" customWidth="1"/>
    <col min="4" max="4" width="14.08984375" customWidth="1"/>
    <col min="5" max="5" width="11.1796875" customWidth="1"/>
    <col min="6" max="7" width="15" style="3" customWidth="1"/>
    <col min="8" max="8" width="9.81640625" customWidth="1"/>
    <col min="9" max="9" width="26.90625" customWidth="1"/>
    <col min="10" max="16384" width="8.7265625" hidden="1"/>
  </cols>
  <sheetData>
    <row r="1" spans="1:9" x14ac:dyDescent="0.35">
      <c r="A1" t="s">
        <v>203</v>
      </c>
      <c r="B1" s="1" t="s">
        <v>0</v>
      </c>
      <c r="C1" s="2" t="s">
        <v>3</v>
      </c>
      <c r="D1" s="1" t="s">
        <v>1</v>
      </c>
      <c r="E1" s="1" t="s">
        <v>51</v>
      </c>
      <c r="F1" s="2" t="s">
        <v>196</v>
      </c>
      <c r="G1" s="2" t="s">
        <v>206</v>
      </c>
      <c r="H1" s="1" t="s">
        <v>4</v>
      </c>
      <c r="I1" s="1" t="s">
        <v>8</v>
      </c>
    </row>
    <row r="2" spans="1:9" x14ac:dyDescent="0.35">
      <c r="A2" s="9" t="b">
        <v>1</v>
      </c>
      <c r="B2" t="s">
        <v>5</v>
      </c>
      <c r="C2" s="3" t="s">
        <v>9</v>
      </c>
      <c r="D2" t="s">
        <v>6</v>
      </c>
      <c r="E2" s="5">
        <v>0.1</v>
      </c>
      <c r="F2" s="3" t="s">
        <v>107</v>
      </c>
      <c r="G2" s="3" t="s">
        <v>204</v>
      </c>
      <c r="H2" t="s">
        <v>10</v>
      </c>
      <c r="I2" t="s">
        <v>7</v>
      </c>
    </row>
    <row r="3" spans="1:9" x14ac:dyDescent="0.35">
      <c r="A3" s="9" t="b">
        <v>1</v>
      </c>
      <c r="B3" t="s">
        <v>12</v>
      </c>
      <c r="C3" s="3" t="s">
        <v>9</v>
      </c>
      <c r="D3" t="s">
        <v>13</v>
      </c>
      <c r="E3" s="5">
        <v>0.1</v>
      </c>
      <c r="F3" s="3" t="s">
        <v>107</v>
      </c>
      <c r="G3" s="3" t="s">
        <v>204</v>
      </c>
      <c r="H3" t="s">
        <v>10</v>
      </c>
      <c r="I3" t="s">
        <v>11</v>
      </c>
    </row>
    <row r="4" spans="1:9" x14ac:dyDescent="0.35">
      <c r="A4" s="9" t="b">
        <v>1</v>
      </c>
      <c r="B4" t="s">
        <v>15</v>
      </c>
      <c r="C4" s="3" t="s">
        <v>9</v>
      </c>
      <c r="D4" t="s">
        <v>16</v>
      </c>
      <c r="E4" s="5">
        <v>0.01</v>
      </c>
      <c r="F4" s="3" t="s">
        <v>107</v>
      </c>
      <c r="G4" s="3" t="s">
        <v>204</v>
      </c>
      <c r="H4" t="s">
        <v>10</v>
      </c>
      <c r="I4" t="s">
        <v>14</v>
      </c>
    </row>
    <row r="5" spans="1:9" x14ac:dyDescent="0.35">
      <c r="A5" s="9" t="b">
        <v>1</v>
      </c>
      <c r="B5" t="s">
        <v>18</v>
      </c>
      <c r="C5" s="3" t="s">
        <v>9</v>
      </c>
      <c r="D5" t="s">
        <v>19</v>
      </c>
      <c r="E5" s="5">
        <v>0.1</v>
      </c>
      <c r="F5" s="3" t="s">
        <v>107</v>
      </c>
      <c r="G5" s="3" t="s">
        <v>204</v>
      </c>
      <c r="H5" t="s">
        <v>10</v>
      </c>
      <c r="I5" t="s">
        <v>17</v>
      </c>
    </row>
    <row r="6" spans="1:9" x14ac:dyDescent="0.35">
      <c r="A6" s="9" t="b">
        <v>1</v>
      </c>
      <c r="B6" t="s">
        <v>5</v>
      </c>
      <c r="C6" s="3" t="s">
        <v>25</v>
      </c>
      <c r="D6" t="s">
        <v>110</v>
      </c>
      <c r="E6" s="5">
        <v>0.1</v>
      </c>
      <c r="F6" s="3" t="s">
        <v>107</v>
      </c>
      <c r="G6" s="3" t="s">
        <v>204</v>
      </c>
      <c r="H6" t="s">
        <v>10</v>
      </c>
      <c r="I6" t="s">
        <v>112</v>
      </c>
    </row>
    <row r="7" spans="1:9" x14ac:dyDescent="0.35">
      <c r="A7" s="9" t="b">
        <v>1</v>
      </c>
      <c r="B7" t="s">
        <v>109</v>
      </c>
      <c r="C7" s="3" t="s">
        <v>25</v>
      </c>
      <c r="D7" t="s">
        <v>110</v>
      </c>
      <c r="E7" s="5">
        <v>0.1</v>
      </c>
      <c r="F7" s="3" t="s">
        <v>107</v>
      </c>
      <c r="G7" s="3" t="s">
        <v>204</v>
      </c>
      <c r="H7" t="s">
        <v>10</v>
      </c>
      <c r="I7" t="s">
        <v>111</v>
      </c>
    </row>
    <row r="8" spans="1:9" x14ac:dyDescent="0.35">
      <c r="A8" s="9" t="b">
        <v>1</v>
      </c>
      <c r="B8" t="s">
        <v>18</v>
      </c>
      <c r="C8" s="3" t="s">
        <v>25</v>
      </c>
      <c r="D8" t="s">
        <v>110</v>
      </c>
      <c r="E8" s="5">
        <v>0.1</v>
      </c>
      <c r="F8" s="3" t="s">
        <v>107</v>
      </c>
      <c r="G8" s="3" t="s">
        <v>204</v>
      </c>
      <c r="H8" t="s">
        <v>10</v>
      </c>
      <c r="I8" t="s">
        <v>117</v>
      </c>
    </row>
    <row r="9" spans="1:9" x14ac:dyDescent="0.35">
      <c r="A9" s="9" t="b">
        <v>1</v>
      </c>
      <c r="B9" t="s">
        <v>113</v>
      </c>
      <c r="C9" s="3" t="s">
        <v>115</v>
      </c>
      <c r="D9" t="s">
        <v>13</v>
      </c>
      <c r="E9" s="5">
        <v>0.2</v>
      </c>
      <c r="F9" s="3" t="s">
        <v>107</v>
      </c>
      <c r="G9" s="3" t="s">
        <v>205</v>
      </c>
      <c r="H9" t="s">
        <v>116</v>
      </c>
      <c r="I9" t="s">
        <v>114</v>
      </c>
    </row>
    <row r="10" spans="1:9" x14ac:dyDescent="0.35">
      <c r="A10" s="9" t="b">
        <v>0</v>
      </c>
    </row>
    <row r="11" spans="1:9" x14ac:dyDescent="0.35">
      <c r="A11" s="9" t="b">
        <v>0</v>
      </c>
    </row>
    <row r="12" spans="1:9" x14ac:dyDescent="0.35">
      <c r="A12" s="9" t="b">
        <v>0</v>
      </c>
    </row>
    <row r="13" spans="1:9" x14ac:dyDescent="0.35">
      <c r="A13" s="9" t="b">
        <v>0</v>
      </c>
    </row>
    <row r="14" spans="1:9" x14ac:dyDescent="0.35">
      <c r="A14" s="9" t="b">
        <v>0</v>
      </c>
    </row>
    <row r="15" spans="1:9" x14ac:dyDescent="0.35">
      <c r="A15" s="9" t="b">
        <v>0</v>
      </c>
    </row>
    <row r="16" spans="1:9" x14ac:dyDescent="0.35">
      <c r="A16" s="9" t="b">
        <v>0</v>
      </c>
    </row>
    <row r="17" spans="1:1" x14ac:dyDescent="0.35">
      <c r="A17" s="9" t="b">
        <v>0</v>
      </c>
    </row>
    <row r="18" spans="1:1" x14ac:dyDescent="0.35">
      <c r="A18" s="9" t="b">
        <v>0</v>
      </c>
    </row>
    <row r="19" spans="1:1" x14ac:dyDescent="0.35">
      <c r="A19" s="9" t="b">
        <v>0</v>
      </c>
    </row>
    <row r="20" spans="1:1" x14ac:dyDescent="0.35">
      <c r="A20" s="9" t="b">
        <v>0</v>
      </c>
    </row>
    <row r="21" spans="1:1" x14ac:dyDescent="0.35">
      <c r="A21" s="9" t="b">
        <v>0</v>
      </c>
    </row>
    <row r="22" spans="1:1" x14ac:dyDescent="0.35">
      <c r="A22" s="9" t="b">
        <v>0</v>
      </c>
    </row>
    <row r="23" spans="1:1" x14ac:dyDescent="0.35">
      <c r="A23" s="9" t="b">
        <v>0</v>
      </c>
    </row>
    <row r="24" spans="1:1" x14ac:dyDescent="0.35">
      <c r="A24" s="9" t="b">
        <v>0</v>
      </c>
    </row>
    <row r="25" spans="1:1" x14ac:dyDescent="0.35">
      <c r="A25" s="9" t="b">
        <v>0</v>
      </c>
    </row>
    <row r="26" spans="1:1" x14ac:dyDescent="0.35">
      <c r="A26" s="9" t="b">
        <v>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311A32-7C4D-4571-8105-957397FF3475}">
  <dimension ref="A1:XDX30"/>
  <sheetViews>
    <sheetView topLeftCell="A10" zoomScale="113" workbookViewId="0">
      <selection activeCell="G24" sqref="G24"/>
    </sheetView>
  </sheetViews>
  <sheetFormatPr defaultColWidth="0" defaultRowHeight="14.5" zeroHeight="1" x14ac:dyDescent="0.35"/>
  <cols>
    <col min="1" max="1" width="16.1796875" style="3" customWidth="1"/>
    <col min="2" max="2" width="15.453125" style="3" customWidth="1"/>
    <col min="3" max="3" width="8.453125" style="11" customWidth="1"/>
    <col min="4" max="4" width="18" style="3" customWidth="1"/>
    <col min="5" max="5" width="16.54296875" style="3" customWidth="1"/>
    <col min="6" max="6" width="17" style="3" customWidth="1"/>
    <col min="7" max="7" width="12.453125" style="3" customWidth="1"/>
    <col min="8" max="8" width="37.54296875" style="3" customWidth="1"/>
    <col min="9" max="16340" width="8.7265625" style="3" hidden="1"/>
    <col min="16341" max="16341" width="0" style="3" hidden="1"/>
    <col min="16342" max="16350" width="8.7265625" style="3" hidden="1"/>
    <col min="16351" max="16352" width="0" style="3" hidden="1"/>
    <col min="16353" max="16384" width="8.7265625" style="3" hidden="1"/>
  </cols>
  <sheetData>
    <row r="1" spans="1:8" x14ac:dyDescent="0.35">
      <c r="A1" s="3" t="s">
        <v>203</v>
      </c>
      <c r="B1" s="3" t="s">
        <v>153</v>
      </c>
      <c r="C1" s="12" t="s">
        <v>248</v>
      </c>
      <c r="D1" s="3" t="s">
        <v>157</v>
      </c>
      <c r="E1" s="3" t="s">
        <v>2</v>
      </c>
      <c r="F1" s="3" t="s">
        <v>162</v>
      </c>
      <c r="G1" s="3" t="s">
        <v>214</v>
      </c>
      <c r="H1" s="3" t="s">
        <v>33</v>
      </c>
    </row>
    <row r="2" spans="1:8" x14ac:dyDescent="0.35">
      <c r="A2" s="10" t="b">
        <v>1</v>
      </c>
      <c r="B2" s="3" t="s">
        <v>207</v>
      </c>
      <c r="C2" s="12">
        <v>2</v>
      </c>
      <c r="D2" s="3" t="s">
        <v>159</v>
      </c>
      <c r="E2" s="3" t="s">
        <v>208</v>
      </c>
      <c r="H2" s="3" t="s">
        <v>209</v>
      </c>
    </row>
    <row r="3" spans="1:8" x14ac:dyDescent="0.35">
      <c r="A3" s="10" t="b">
        <v>1</v>
      </c>
      <c r="B3" s="3" t="s">
        <v>245</v>
      </c>
      <c r="C3" s="12">
        <v>9</v>
      </c>
      <c r="D3" s="3" t="s">
        <v>158</v>
      </c>
      <c r="E3" s="3" t="s">
        <v>246</v>
      </c>
      <c r="G3" s="3" t="s">
        <v>249</v>
      </c>
      <c r="H3" s="3" t="s">
        <v>247</v>
      </c>
    </row>
    <row r="4" spans="1:8" x14ac:dyDescent="0.35">
      <c r="A4" s="10" t="b">
        <v>1</v>
      </c>
      <c r="B4" s="3" t="s">
        <v>210</v>
      </c>
      <c r="C4" s="12">
        <v>10</v>
      </c>
      <c r="D4" s="3" t="s">
        <v>160</v>
      </c>
    </row>
    <row r="5" spans="1:8" x14ac:dyDescent="0.35">
      <c r="A5" s="10" t="b">
        <v>1</v>
      </c>
      <c r="B5" s="3" t="s">
        <v>210</v>
      </c>
      <c r="C5" s="12">
        <v>2</v>
      </c>
      <c r="D5" s="3" t="s">
        <v>160</v>
      </c>
    </row>
    <row r="6" spans="1:8" x14ac:dyDescent="0.35">
      <c r="A6" s="10" t="b">
        <v>1</v>
      </c>
      <c r="B6" s="3" t="s">
        <v>210</v>
      </c>
      <c r="C6" s="12">
        <v>3</v>
      </c>
      <c r="D6" s="3" t="s">
        <v>160</v>
      </c>
    </row>
    <row r="7" spans="1:8" x14ac:dyDescent="0.35">
      <c r="A7" s="10" t="b">
        <v>1</v>
      </c>
      <c r="B7" s="3" t="s">
        <v>210</v>
      </c>
      <c r="C7" s="12">
        <v>4</v>
      </c>
      <c r="D7" s="3" t="s">
        <v>160</v>
      </c>
    </row>
    <row r="8" spans="1:8" x14ac:dyDescent="0.35">
      <c r="A8" s="10" t="b">
        <v>1</v>
      </c>
      <c r="B8" s="3" t="s">
        <v>210</v>
      </c>
      <c r="C8" s="12">
        <v>5</v>
      </c>
      <c r="D8" s="3" t="s">
        <v>160</v>
      </c>
    </row>
    <row r="9" spans="1:8" x14ac:dyDescent="0.35">
      <c r="A9" s="10" t="b">
        <v>1</v>
      </c>
      <c r="B9" s="3" t="s">
        <v>210</v>
      </c>
      <c r="C9" s="12">
        <v>6</v>
      </c>
      <c r="D9" s="3" t="s">
        <v>160</v>
      </c>
    </row>
    <row r="10" spans="1:8" x14ac:dyDescent="0.35">
      <c r="A10" s="10" t="b">
        <v>1</v>
      </c>
      <c r="B10" s="3" t="s">
        <v>210</v>
      </c>
      <c r="C10" s="12">
        <v>8</v>
      </c>
      <c r="D10" s="3" t="s">
        <v>160</v>
      </c>
    </row>
    <row r="11" spans="1:8" x14ac:dyDescent="0.35">
      <c r="A11" s="10" t="b">
        <v>1</v>
      </c>
      <c r="B11" s="3" t="s">
        <v>156</v>
      </c>
      <c r="C11" s="12">
        <v>2</v>
      </c>
      <c r="D11" s="3" t="s">
        <v>158</v>
      </c>
      <c r="E11" s="3" t="s">
        <v>41</v>
      </c>
      <c r="F11" s="3" t="s">
        <v>161</v>
      </c>
      <c r="H11" s="3" t="s">
        <v>42</v>
      </c>
    </row>
    <row r="12" spans="1:8" x14ac:dyDescent="0.35">
      <c r="A12" s="10" t="b">
        <v>1</v>
      </c>
      <c r="B12" s="3" t="s">
        <v>156</v>
      </c>
      <c r="C12" s="12">
        <v>3</v>
      </c>
      <c r="D12" s="3" t="s">
        <v>158</v>
      </c>
      <c r="E12" s="3" t="s">
        <v>40</v>
      </c>
      <c r="F12" s="3" t="s">
        <v>181</v>
      </c>
      <c r="H12" s="3" t="s">
        <v>39</v>
      </c>
    </row>
    <row r="13" spans="1:8" x14ac:dyDescent="0.35">
      <c r="A13" s="10" t="b">
        <v>1</v>
      </c>
      <c r="B13" s="3" t="s">
        <v>156</v>
      </c>
      <c r="C13" s="12">
        <v>4</v>
      </c>
      <c r="D13" s="3" t="s">
        <v>158</v>
      </c>
      <c r="E13" s="3" t="s">
        <v>213</v>
      </c>
      <c r="F13" s="3" t="s">
        <v>212</v>
      </c>
    </row>
    <row r="14" spans="1:8" x14ac:dyDescent="0.35">
      <c r="A14" s="10" t="b">
        <v>1</v>
      </c>
      <c r="B14" s="3" t="s">
        <v>156</v>
      </c>
      <c r="C14" s="12">
        <v>6</v>
      </c>
      <c r="D14" s="3" t="s">
        <v>158</v>
      </c>
      <c r="E14" s="3" t="s">
        <v>43</v>
      </c>
      <c r="H14" s="3" t="s">
        <v>44</v>
      </c>
    </row>
    <row r="15" spans="1:8" x14ac:dyDescent="0.35">
      <c r="A15" s="10" t="b">
        <v>1</v>
      </c>
      <c r="B15" s="3" t="s">
        <v>211</v>
      </c>
      <c r="C15" s="12">
        <v>10</v>
      </c>
      <c r="D15" s="3" t="s">
        <v>158</v>
      </c>
      <c r="E15" s="3" t="s">
        <v>38</v>
      </c>
      <c r="H15" s="3" t="s">
        <v>37</v>
      </c>
    </row>
    <row r="16" spans="1:8" x14ac:dyDescent="0.35">
      <c r="A16" s="10" t="b">
        <v>1</v>
      </c>
      <c r="B16" s="3" t="s">
        <v>211</v>
      </c>
      <c r="C16" s="12">
        <v>16</v>
      </c>
      <c r="D16" s="3" t="s">
        <v>158</v>
      </c>
      <c r="E16" s="3" t="s">
        <v>171</v>
      </c>
      <c r="F16" s="3" t="s">
        <v>171</v>
      </c>
      <c r="H16" s="3" t="s">
        <v>172</v>
      </c>
    </row>
    <row r="17" spans="1:8" x14ac:dyDescent="0.35">
      <c r="A17" s="10" t="b">
        <v>1</v>
      </c>
      <c r="B17" s="3" t="s">
        <v>154</v>
      </c>
      <c r="C17" s="12">
        <v>10</v>
      </c>
      <c r="D17" s="3" t="s">
        <v>158</v>
      </c>
    </row>
    <row r="18" spans="1:8" x14ac:dyDescent="0.35">
      <c r="A18" s="10" t="b">
        <v>1</v>
      </c>
      <c r="B18" s="3" t="s">
        <v>154</v>
      </c>
      <c r="C18" s="12">
        <v>2</v>
      </c>
      <c r="D18" s="3" t="s">
        <v>158</v>
      </c>
      <c r="E18" s="3" t="s">
        <v>152</v>
      </c>
      <c r="H18" s="3" t="s">
        <v>99</v>
      </c>
    </row>
    <row r="19" spans="1:8" x14ac:dyDescent="0.35">
      <c r="A19" s="10" t="b">
        <v>1</v>
      </c>
      <c r="B19" s="3" t="s">
        <v>154</v>
      </c>
      <c r="C19" s="12">
        <v>3</v>
      </c>
      <c r="D19" s="3" t="s">
        <v>158</v>
      </c>
      <c r="E19" s="3" t="s">
        <v>98</v>
      </c>
      <c r="H19" s="3" t="s">
        <v>99</v>
      </c>
    </row>
    <row r="20" spans="1:8" x14ac:dyDescent="0.35">
      <c r="A20" s="10" t="b">
        <v>1</v>
      </c>
      <c r="B20" s="3" t="s">
        <v>154</v>
      </c>
      <c r="C20" s="12">
        <v>4</v>
      </c>
      <c r="D20" s="3" t="s">
        <v>158</v>
      </c>
    </row>
    <row r="21" spans="1:8" x14ac:dyDescent="0.35">
      <c r="A21" s="10" t="b">
        <v>1</v>
      </c>
      <c r="B21" s="3" t="s">
        <v>154</v>
      </c>
      <c r="C21" s="12">
        <v>6</v>
      </c>
      <c r="D21" s="3" t="s">
        <v>158</v>
      </c>
    </row>
    <row r="22" spans="1:8" x14ac:dyDescent="0.35">
      <c r="A22" s="10" t="b">
        <v>1</v>
      </c>
      <c r="B22" s="3" t="s">
        <v>154</v>
      </c>
      <c r="C22" s="12">
        <v>10</v>
      </c>
      <c r="D22" s="3" t="s">
        <v>158</v>
      </c>
    </row>
    <row r="23" spans="1:8" x14ac:dyDescent="0.35">
      <c r="A23" s="10" t="b">
        <v>1</v>
      </c>
      <c r="B23" s="3" t="s">
        <v>155</v>
      </c>
      <c r="C23" s="12"/>
      <c r="D23" s="3" t="s">
        <v>159</v>
      </c>
      <c r="E23" s="3" t="s">
        <v>96</v>
      </c>
      <c r="G23" s="3" t="s">
        <v>250</v>
      </c>
      <c r="H23" s="3" t="s">
        <v>97</v>
      </c>
    </row>
    <row r="24" spans="1:8" x14ac:dyDescent="0.35">
      <c r="A24" s="10" t="b">
        <v>0</v>
      </c>
      <c r="C24" s="12"/>
    </row>
    <row r="25" spans="1:8" x14ac:dyDescent="0.35">
      <c r="A25" s="10" t="b">
        <v>0</v>
      </c>
      <c r="C25" s="12"/>
    </row>
    <row r="26" spans="1:8" x14ac:dyDescent="0.35">
      <c r="A26" s="10" t="b">
        <v>0</v>
      </c>
      <c r="C26" s="12"/>
    </row>
    <row r="27" spans="1:8" x14ac:dyDescent="0.35">
      <c r="A27" s="10" t="b">
        <v>0</v>
      </c>
      <c r="C27" s="12"/>
    </row>
    <row r="28" spans="1:8" x14ac:dyDescent="0.35">
      <c r="A28" s="10" t="b">
        <v>0</v>
      </c>
      <c r="C28" s="12"/>
    </row>
    <row r="29" spans="1:8" x14ac:dyDescent="0.35">
      <c r="A29" s="10" t="b">
        <v>0</v>
      </c>
      <c r="C29" s="12"/>
    </row>
    <row r="30" spans="1:8" x14ac:dyDescent="0.35">
      <c r="A30" s="10" t="b">
        <v>0</v>
      </c>
      <c r="C30" s="12"/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EC580B-30DF-4B7B-9130-28D1AB04F48B}">
  <dimension ref="A1:H16"/>
  <sheetViews>
    <sheetView workbookViewId="0">
      <selection activeCell="B11" sqref="B11"/>
    </sheetView>
  </sheetViews>
  <sheetFormatPr defaultColWidth="0" defaultRowHeight="14.5" zeroHeight="1" x14ac:dyDescent="0.35"/>
  <cols>
    <col min="1" max="1" width="19.08984375" customWidth="1"/>
    <col min="2" max="2" width="17.1796875" customWidth="1"/>
    <col min="3" max="3" width="14.6328125" customWidth="1"/>
    <col min="4" max="4" width="17.90625" customWidth="1"/>
    <col min="5" max="5" width="10.81640625" customWidth="1"/>
    <col min="6" max="6" width="30.36328125" customWidth="1"/>
    <col min="7" max="7" width="46.54296875" customWidth="1"/>
    <col min="8" max="8" width="0" hidden="1" customWidth="1"/>
    <col min="9" max="16384" width="8.7265625" hidden="1"/>
  </cols>
  <sheetData>
    <row r="1" spans="1:7" x14ac:dyDescent="0.35">
      <c r="A1" t="s">
        <v>203</v>
      </c>
      <c r="B1" t="s">
        <v>100</v>
      </c>
      <c r="C1" t="s">
        <v>87</v>
      </c>
      <c r="D1" t="s">
        <v>101</v>
      </c>
      <c r="E1" t="s">
        <v>106</v>
      </c>
      <c r="F1" t="s">
        <v>2</v>
      </c>
      <c r="G1" t="s">
        <v>33</v>
      </c>
    </row>
    <row r="2" spans="1:7" x14ac:dyDescent="0.35">
      <c r="A2" s="9" t="b">
        <v>1</v>
      </c>
      <c r="B2" t="s">
        <v>102</v>
      </c>
      <c r="C2" t="s">
        <v>103</v>
      </c>
      <c r="D2" t="s">
        <v>104</v>
      </c>
      <c r="E2" t="s">
        <v>107</v>
      </c>
      <c r="F2" t="s">
        <v>105</v>
      </c>
      <c r="G2" t="s">
        <v>108</v>
      </c>
    </row>
    <row r="3" spans="1:7" x14ac:dyDescent="0.35">
      <c r="A3" s="9" t="b">
        <v>1</v>
      </c>
      <c r="B3" t="s">
        <v>102</v>
      </c>
      <c r="C3" t="s">
        <v>165</v>
      </c>
      <c r="D3" t="s">
        <v>163</v>
      </c>
      <c r="E3" t="s">
        <v>107</v>
      </c>
      <c r="F3" t="s">
        <v>166</v>
      </c>
      <c r="G3" t="s">
        <v>164</v>
      </c>
    </row>
    <row r="4" spans="1:7" x14ac:dyDescent="0.35">
      <c r="A4" s="9" t="b">
        <v>0</v>
      </c>
    </row>
    <row r="5" spans="1:7" x14ac:dyDescent="0.35">
      <c r="A5" s="9" t="b">
        <v>0</v>
      </c>
    </row>
    <row r="6" spans="1:7" x14ac:dyDescent="0.35">
      <c r="A6" s="9" t="b">
        <v>0</v>
      </c>
    </row>
    <row r="7" spans="1:7" x14ac:dyDescent="0.35">
      <c r="A7" s="9" t="b">
        <v>0</v>
      </c>
    </row>
    <row r="8" spans="1:7" x14ac:dyDescent="0.35">
      <c r="A8" s="9" t="b">
        <v>0</v>
      </c>
    </row>
    <row r="9" spans="1:7" x14ac:dyDescent="0.35">
      <c r="A9" s="9" t="b">
        <v>0</v>
      </c>
    </row>
    <row r="10" spans="1:7" x14ac:dyDescent="0.35">
      <c r="A10" s="9" t="b">
        <v>0</v>
      </c>
    </row>
    <row r="11" spans="1:7" x14ac:dyDescent="0.35">
      <c r="A11" s="9" t="b">
        <v>0</v>
      </c>
    </row>
    <row r="12" spans="1:7" x14ac:dyDescent="0.35">
      <c r="A12" s="9" t="b">
        <v>0</v>
      </c>
    </row>
    <row r="13" spans="1:7" x14ac:dyDescent="0.35">
      <c r="A13" s="9" t="b">
        <v>0</v>
      </c>
    </row>
    <row r="14" spans="1:7" x14ac:dyDescent="0.35">
      <c r="A14" s="9" t="b">
        <v>0</v>
      </c>
    </row>
    <row r="15" spans="1:7" x14ac:dyDescent="0.35">
      <c r="A15" s="9" t="b">
        <v>0</v>
      </c>
    </row>
    <row r="16" spans="1:7" x14ac:dyDescent="0.35">
      <c r="A16" s="9" t="b">
        <v>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B0A492-FDE3-4289-9C55-9A97FFD78944}">
  <dimension ref="A1:G7"/>
  <sheetViews>
    <sheetView workbookViewId="0">
      <selection sqref="A1:XFD1048576"/>
    </sheetView>
  </sheetViews>
  <sheetFormatPr defaultColWidth="0" defaultRowHeight="14.5" zeroHeight="1" x14ac:dyDescent="0.35"/>
  <cols>
    <col min="1" max="1" width="17.08984375" customWidth="1"/>
    <col min="2" max="2" width="15.7265625" customWidth="1"/>
    <col min="3" max="3" width="18.7265625" customWidth="1"/>
    <col min="4" max="4" width="20.1796875" customWidth="1"/>
    <col min="5" max="5" width="14.6328125" customWidth="1"/>
    <col min="6" max="6" width="19.54296875" customWidth="1"/>
    <col min="7" max="7" width="31.54296875" customWidth="1"/>
    <col min="8" max="16384" width="8.7265625" hidden="1"/>
  </cols>
  <sheetData>
    <row r="1" spans="1:7" s="6" customFormat="1" x14ac:dyDescent="0.35">
      <c r="A1" s="6" t="s">
        <v>203</v>
      </c>
      <c r="B1" s="6" t="s">
        <v>87</v>
      </c>
      <c r="C1" s="6" t="s">
        <v>122</v>
      </c>
      <c r="D1" s="6" t="s">
        <v>118</v>
      </c>
      <c r="E1" s="6" t="s">
        <v>119</v>
      </c>
      <c r="F1" s="6" t="s">
        <v>2</v>
      </c>
      <c r="G1" s="6" t="s">
        <v>33</v>
      </c>
    </row>
    <row r="2" spans="1:7" x14ac:dyDescent="0.35">
      <c r="A2" s="9" t="b">
        <v>1</v>
      </c>
      <c r="B2" t="s">
        <v>120</v>
      </c>
      <c r="C2" t="s">
        <v>121</v>
      </c>
      <c r="D2" t="s">
        <v>123</v>
      </c>
      <c r="E2" t="s">
        <v>124</v>
      </c>
      <c r="F2" t="s">
        <v>125</v>
      </c>
    </row>
    <row r="3" spans="1:7" x14ac:dyDescent="0.35">
      <c r="A3" s="9" t="b">
        <v>1</v>
      </c>
      <c r="B3" t="s">
        <v>175</v>
      </c>
      <c r="C3" t="s">
        <v>176</v>
      </c>
      <c r="D3" t="s">
        <v>177</v>
      </c>
      <c r="E3" t="s">
        <v>178</v>
      </c>
      <c r="F3" t="s">
        <v>179</v>
      </c>
      <c r="G3" t="s">
        <v>180</v>
      </c>
    </row>
    <row r="4" spans="1:7" x14ac:dyDescent="0.35">
      <c r="A4" s="9" t="b">
        <v>0</v>
      </c>
    </row>
    <row r="5" spans="1:7" x14ac:dyDescent="0.35">
      <c r="A5" s="9" t="b">
        <v>0</v>
      </c>
    </row>
    <row r="6" spans="1:7" x14ac:dyDescent="0.35">
      <c r="A6" s="9" t="b">
        <v>0</v>
      </c>
    </row>
    <row r="7" spans="1:7" x14ac:dyDescent="0.35">
      <c r="A7" s="9" t="b">
        <v>0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81E30-EE7D-41F0-A52A-2E2ED23F3E7D}">
  <dimension ref="A1:I7"/>
  <sheetViews>
    <sheetView tabSelected="1" zoomScale="163" workbookViewId="0">
      <selection activeCell="A4" sqref="A4"/>
    </sheetView>
  </sheetViews>
  <sheetFormatPr defaultColWidth="0" defaultRowHeight="14.5" customHeight="1" zeroHeight="1" x14ac:dyDescent="0.35"/>
  <cols>
    <col min="1" max="3" width="17.08984375" customWidth="1"/>
    <col min="4" max="4" width="15.7265625" customWidth="1"/>
    <col min="5" max="5" width="19.54296875" customWidth="1"/>
    <col min="6" max="6" width="31.54296875" customWidth="1"/>
    <col min="7" max="8" width="8.7265625" hidden="1"/>
    <col min="10" max="16384" width="8.7265625" hidden="1"/>
  </cols>
  <sheetData>
    <row r="1" spans="1:6" s="6" customFormat="1" x14ac:dyDescent="0.35">
      <c r="A1" s="6" t="s">
        <v>203</v>
      </c>
      <c r="B1" s="6" t="s">
        <v>251</v>
      </c>
      <c r="C1" s="6" t="s">
        <v>254</v>
      </c>
      <c r="D1" s="6" t="s">
        <v>87</v>
      </c>
      <c r="E1" s="6" t="s">
        <v>2</v>
      </c>
      <c r="F1" s="6" t="s">
        <v>33</v>
      </c>
    </row>
    <row r="2" spans="1:6" x14ac:dyDescent="0.35">
      <c r="A2" s="9" t="b">
        <v>1</v>
      </c>
      <c r="B2" t="s">
        <v>252</v>
      </c>
      <c r="C2" t="s">
        <v>253</v>
      </c>
      <c r="D2" t="s">
        <v>255</v>
      </c>
      <c r="F2" t="s">
        <v>256</v>
      </c>
    </row>
    <row r="3" spans="1:6" x14ac:dyDescent="0.35">
      <c r="A3" s="9" t="b">
        <v>1</v>
      </c>
      <c r="B3" t="s">
        <v>252</v>
      </c>
      <c r="C3" t="s">
        <v>258</v>
      </c>
      <c r="D3" t="s">
        <v>257</v>
      </c>
      <c r="E3" t="s">
        <v>259</v>
      </c>
      <c r="F3" t="s">
        <v>260</v>
      </c>
    </row>
    <row r="4" spans="1:6" x14ac:dyDescent="0.35">
      <c r="A4" s="9" t="b">
        <v>1</v>
      </c>
      <c r="B4" t="s">
        <v>252</v>
      </c>
      <c r="C4" t="s">
        <v>261</v>
      </c>
      <c r="D4" t="s">
        <v>255</v>
      </c>
      <c r="F4" t="s">
        <v>262</v>
      </c>
    </row>
    <row r="5" spans="1:6" x14ac:dyDescent="0.35">
      <c r="A5" s="9" t="b">
        <v>0</v>
      </c>
    </row>
    <row r="6" spans="1:6" x14ac:dyDescent="0.35">
      <c r="A6" s="9" t="b">
        <v>0</v>
      </c>
    </row>
    <row r="7" spans="1:6" x14ac:dyDescent="0.35">
      <c r="A7" s="9" t="b">
        <v>0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15741A-82C1-4BD2-8BEF-3B31C5127744}">
  <dimension ref="A1:E11"/>
  <sheetViews>
    <sheetView workbookViewId="0">
      <selection activeCell="A2" sqref="A2"/>
    </sheetView>
  </sheetViews>
  <sheetFormatPr defaultColWidth="0" defaultRowHeight="14.5" zeroHeight="1" x14ac:dyDescent="0.35"/>
  <cols>
    <col min="1" max="1" width="18.453125" style="3" customWidth="1"/>
    <col min="2" max="2" width="21.7265625" style="3" customWidth="1"/>
    <col min="3" max="3" width="14.453125" style="3" customWidth="1"/>
    <col min="4" max="4" width="15.1796875" style="3" customWidth="1"/>
    <col min="5" max="5" width="54.36328125" style="3" customWidth="1"/>
    <col min="6" max="16384" width="8.7265625" style="3" hidden="1"/>
  </cols>
  <sheetData>
    <row r="1" spans="1:5" x14ac:dyDescent="0.35">
      <c r="A1" s="3" t="s">
        <v>203</v>
      </c>
      <c r="B1" s="3" t="s">
        <v>2</v>
      </c>
      <c r="C1" s="3" t="s">
        <v>3</v>
      </c>
      <c r="D1" s="3" t="s">
        <v>45</v>
      </c>
      <c r="E1" s="3" t="s">
        <v>33</v>
      </c>
    </row>
    <row r="2" spans="1:5" x14ac:dyDescent="0.35">
      <c r="A2" s="10" t="b">
        <v>1</v>
      </c>
      <c r="B2" s="3" t="s">
        <v>46</v>
      </c>
      <c r="C2" s="3" t="s">
        <v>25</v>
      </c>
      <c r="D2" s="3">
        <v>30</v>
      </c>
      <c r="E2" s="3" t="s">
        <v>197</v>
      </c>
    </row>
    <row r="3" spans="1:5" x14ac:dyDescent="0.35">
      <c r="A3" s="10" t="b">
        <v>0</v>
      </c>
    </row>
    <row r="4" spans="1:5" x14ac:dyDescent="0.35">
      <c r="A4" s="10" t="b">
        <v>0</v>
      </c>
    </row>
    <row r="5" spans="1:5" x14ac:dyDescent="0.35">
      <c r="A5" s="10" t="b">
        <v>0</v>
      </c>
    </row>
    <row r="6" spans="1:5" x14ac:dyDescent="0.35">
      <c r="A6" s="10" t="b">
        <v>0</v>
      </c>
    </row>
    <row r="7" spans="1:5" x14ac:dyDescent="0.35">
      <c r="A7" s="10" t="b">
        <v>0</v>
      </c>
    </row>
    <row r="8" spans="1:5" x14ac:dyDescent="0.35">
      <c r="A8" s="10" t="b">
        <v>0</v>
      </c>
    </row>
    <row r="9" spans="1:5" x14ac:dyDescent="0.35">
      <c r="A9" s="10" t="b">
        <v>0</v>
      </c>
    </row>
    <row r="10" spans="1:5" x14ac:dyDescent="0.35">
      <c r="A10" s="10" t="b">
        <v>0</v>
      </c>
    </row>
    <row r="11" spans="1:5" x14ac:dyDescent="0.35">
      <c r="A11" s="10" t="b">
        <v>0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8482E7-D1DD-4AAD-BE98-FD2EBFF08ED8}">
  <dimension ref="A1:H10"/>
  <sheetViews>
    <sheetView zoomScale="125" workbookViewId="0">
      <selection activeCell="A2" sqref="A2"/>
    </sheetView>
  </sheetViews>
  <sheetFormatPr defaultColWidth="0" defaultRowHeight="14.5" zeroHeight="1" x14ac:dyDescent="0.35"/>
  <cols>
    <col min="1" max="2" width="17" customWidth="1"/>
    <col min="3" max="3" width="16" customWidth="1"/>
    <col min="4" max="4" width="10" customWidth="1"/>
    <col min="5" max="5" width="13" customWidth="1"/>
    <col min="6" max="6" width="16.90625" customWidth="1"/>
    <col min="7" max="7" width="26.7265625" customWidth="1"/>
    <col min="8" max="8" width="0" hidden="1" customWidth="1"/>
    <col min="9" max="16384" width="8.7265625" hidden="1"/>
  </cols>
  <sheetData>
    <row r="1" spans="1:7" x14ac:dyDescent="0.35">
      <c r="A1" s="7" t="s">
        <v>203</v>
      </c>
      <c r="B1" s="7" t="s">
        <v>87</v>
      </c>
      <c r="C1" s="7" t="s">
        <v>32</v>
      </c>
      <c r="D1" s="7" t="s">
        <v>3</v>
      </c>
      <c r="E1" s="7" t="s">
        <v>1</v>
      </c>
      <c r="F1" s="7" t="s">
        <v>2</v>
      </c>
      <c r="G1" s="7" t="s">
        <v>33</v>
      </c>
    </row>
    <row r="2" spans="1:7" x14ac:dyDescent="0.35">
      <c r="A2" s="9" t="b">
        <v>1</v>
      </c>
      <c r="B2" t="s">
        <v>126</v>
      </c>
      <c r="C2" t="s">
        <v>35</v>
      </c>
      <c r="D2">
        <v>1812</v>
      </c>
      <c r="E2" t="s">
        <v>36</v>
      </c>
      <c r="F2" t="s">
        <v>130</v>
      </c>
      <c r="G2" t="s">
        <v>34</v>
      </c>
    </row>
    <row r="3" spans="1:7" x14ac:dyDescent="0.35">
      <c r="A3" s="9" t="b">
        <v>1</v>
      </c>
      <c r="B3" t="s">
        <v>119</v>
      </c>
      <c r="D3" t="s">
        <v>129</v>
      </c>
      <c r="F3" t="s">
        <v>128</v>
      </c>
      <c r="G3" t="s">
        <v>127</v>
      </c>
    </row>
    <row r="4" spans="1:7" x14ac:dyDescent="0.35">
      <c r="A4" s="9" t="b">
        <v>0</v>
      </c>
    </row>
    <row r="5" spans="1:7" x14ac:dyDescent="0.35">
      <c r="A5" s="9" t="b">
        <v>0</v>
      </c>
    </row>
    <row r="6" spans="1:7" x14ac:dyDescent="0.35">
      <c r="A6" s="9" t="b">
        <v>0</v>
      </c>
    </row>
    <row r="7" spans="1:7" x14ac:dyDescent="0.35">
      <c r="A7" s="9" t="b">
        <v>0</v>
      </c>
    </row>
    <row r="8" spans="1:7" x14ac:dyDescent="0.35">
      <c r="A8" s="9" t="b">
        <v>0</v>
      </c>
    </row>
    <row r="9" spans="1:7" x14ac:dyDescent="0.35">
      <c r="A9" s="9" t="b">
        <v>0</v>
      </c>
    </row>
    <row r="10" spans="1:7" x14ac:dyDescent="0.35">
      <c r="A10" s="9" t="b">
        <v>0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3F692B-7F28-45B7-9D1E-A5B0F0D04085}">
  <dimension ref="A1:F10"/>
  <sheetViews>
    <sheetView workbookViewId="0">
      <selection activeCell="B8" sqref="B8"/>
    </sheetView>
  </sheetViews>
  <sheetFormatPr defaultColWidth="0" defaultRowHeight="14.5" zeroHeight="1" x14ac:dyDescent="0.35"/>
  <cols>
    <col min="1" max="1" width="16" customWidth="1"/>
    <col min="2" max="3" width="27.7265625" customWidth="1"/>
    <col min="4" max="4" width="24.90625" customWidth="1"/>
    <col min="5" max="5" width="55.36328125" customWidth="1"/>
    <col min="6" max="6" width="0" hidden="1" customWidth="1"/>
    <col min="7" max="16384" width="8.7265625" hidden="1"/>
  </cols>
  <sheetData>
    <row r="1" spans="1:5" x14ac:dyDescent="0.35">
      <c r="A1" t="s">
        <v>203</v>
      </c>
      <c r="B1" t="s">
        <v>82</v>
      </c>
      <c r="C1" t="s">
        <v>214</v>
      </c>
      <c r="D1" t="s">
        <v>2</v>
      </c>
      <c r="E1" t="s">
        <v>33</v>
      </c>
    </row>
    <row r="2" spans="1:5" x14ac:dyDescent="0.35">
      <c r="A2" s="9" t="b">
        <v>1</v>
      </c>
      <c r="B2" t="s">
        <v>83</v>
      </c>
      <c r="C2" t="s">
        <v>215</v>
      </c>
      <c r="D2" t="s">
        <v>80</v>
      </c>
      <c r="E2" t="s">
        <v>81</v>
      </c>
    </row>
    <row r="3" spans="1:5" x14ac:dyDescent="0.35">
      <c r="A3" s="9" t="b">
        <v>1</v>
      </c>
      <c r="B3" s="4" t="s">
        <v>217</v>
      </c>
      <c r="C3" s="4" t="s">
        <v>216</v>
      </c>
      <c r="D3" t="s">
        <v>94</v>
      </c>
      <c r="E3" t="s">
        <v>95</v>
      </c>
    </row>
    <row r="4" spans="1:5" x14ac:dyDescent="0.35">
      <c r="A4" s="9" t="b">
        <v>1</v>
      </c>
      <c r="B4" t="s">
        <v>218</v>
      </c>
      <c r="D4" t="s">
        <v>173</v>
      </c>
      <c r="E4" t="s">
        <v>174</v>
      </c>
    </row>
    <row r="5" spans="1:5" x14ac:dyDescent="0.35">
      <c r="A5" s="9" t="b">
        <v>0</v>
      </c>
    </row>
    <row r="6" spans="1:5" x14ac:dyDescent="0.35">
      <c r="A6" s="9" t="b">
        <v>0</v>
      </c>
    </row>
    <row r="7" spans="1:5" x14ac:dyDescent="0.35">
      <c r="A7" s="9" t="b">
        <v>0</v>
      </c>
    </row>
    <row r="8" spans="1:5" x14ac:dyDescent="0.35">
      <c r="A8" s="9" t="b">
        <v>0</v>
      </c>
    </row>
    <row r="9" spans="1:5" x14ac:dyDescent="0.35">
      <c r="A9" s="9" t="b">
        <v>0</v>
      </c>
    </row>
    <row r="10" spans="1:5" x14ac:dyDescent="0.35">
      <c r="A10" s="9" t="b">
        <v>0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0DCFA9-0ACD-44E9-B5AC-404F4D59A007}">
  <dimension ref="A1:E11"/>
  <sheetViews>
    <sheetView workbookViewId="0">
      <selection activeCell="A3" sqref="A3"/>
    </sheetView>
  </sheetViews>
  <sheetFormatPr defaultColWidth="0" defaultRowHeight="14.5" zeroHeight="1" x14ac:dyDescent="0.35"/>
  <cols>
    <col min="1" max="1" width="15.54296875" style="3" customWidth="1"/>
    <col min="2" max="2" width="21.1796875" style="3" customWidth="1"/>
    <col min="3" max="3" width="22.1796875" style="3" customWidth="1"/>
    <col min="4" max="4" width="32" style="3" customWidth="1"/>
    <col min="5" max="5" width="45.81640625" style="3" customWidth="1"/>
    <col min="6" max="16384" width="8.7265625" style="3" hidden="1"/>
  </cols>
  <sheetData>
    <row r="1" spans="1:5" x14ac:dyDescent="0.35">
      <c r="A1" s="3" t="s">
        <v>203</v>
      </c>
      <c r="B1" s="3" t="s">
        <v>47</v>
      </c>
      <c r="C1" s="3" t="s">
        <v>3</v>
      </c>
      <c r="D1" s="3" t="s">
        <v>2</v>
      </c>
      <c r="E1" s="3" t="s">
        <v>33</v>
      </c>
    </row>
    <row r="2" spans="1:5" x14ac:dyDescent="0.35">
      <c r="A2" s="10" t="b">
        <v>1</v>
      </c>
      <c r="B2" s="3" t="s">
        <v>48</v>
      </c>
      <c r="C2" s="3" t="s">
        <v>220</v>
      </c>
      <c r="D2" s="3" t="s">
        <v>50</v>
      </c>
      <c r="E2" s="3" t="s">
        <v>49</v>
      </c>
    </row>
    <row r="3" spans="1:5" x14ac:dyDescent="0.35">
      <c r="A3" s="10" t="b">
        <v>1</v>
      </c>
      <c r="B3" s="3" t="s">
        <v>133</v>
      </c>
      <c r="C3" s="3" t="s">
        <v>219</v>
      </c>
      <c r="D3" s="3" t="s">
        <v>131</v>
      </c>
      <c r="E3" s="3" t="s">
        <v>132</v>
      </c>
    </row>
    <row r="4" spans="1:5" x14ac:dyDescent="0.35">
      <c r="A4" s="10" t="b">
        <v>0</v>
      </c>
    </row>
    <row r="5" spans="1:5" x14ac:dyDescent="0.35">
      <c r="A5" s="10" t="b">
        <v>0</v>
      </c>
    </row>
    <row r="6" spans="1:5" x14ac:dyDescent="0.35">
      <c r="A6" s="10" t="b">
        <v>0</v>
      </c>
    </row>
    <row r="7" spans="1:5" x14ac:dyDescent="0.35">
      <c r="A7" s="10" t="b">
        <v>0</v>
      </c>
    </row>
    <row r="8" spans="1:5" x14ac:dyDescent="0.35">
      <c r="A8" s="10" t="b">
        <v>0</v>
      </c>
    </row>
    <row r="9" spans="1:5" x14ac:dyDescent="0.35">
      <c r="A9" s="10" t="b">
        <v>0</v>
      </c>
    </row>
    <row r="10" spans="1:5" x14ac:dyDescent="0.35">
      <c r="A10" s="10" t="b">
        <v>0</v>
      </c>
    </row>
    <row r="11" spans="1:5" x14ac:dyDescent="0.35">
      <c r="A11" s="10" t="b">
        <v>0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62198B-44BD-4E55-B62E-439143EC0CFE}">
  <dimension ref="A1:G10"/>
  <sheetViews>
    <sheetView workbookViewId="0">
      <selection activeCell="A5" sqref="A5"/>
    </sheetView>
  </sheetViews>
  <sheetFormatPr defaultColWidth="0" defaultRowHeight="14.5" zeroHeight="1" x14ac:dyDescent="0.35"/>
  <cols>
    <col min="1" max="1" width="18" customWidth="1"/>
    <col min="2" max="2" width="8.7265625" customWidth="1"/>
    <col min="3" max="3" width="16.36328125" customWidth="1"/>
    <col min="4" max="4" width="14.36328125" style="3" customWidth="1"/>
    <col min="5" max="5" width="17.453125" customWidth="1"/>
    <col min="6" max="6" width="31.81640625" customWidth="1"/>
    <col min="7" max="7" width="43.26953125" customWidth="1"/>
    <col min="8" max="16384" width="8.7265625" hidden="1"/>
  </cols>
  <sheetData>
    <row r="1" spans="1:7" x14ac:dyDescent="0.35">
      <c r="A1" t="s">
        <v>203</v>
      </c>
      <c r="B1" t="s">
        <v>20</v>
      </c>
      <c r="C1" t="s">
        <v>198</v>
      </c>
      <c r="D1" s="3" t="s">
        <v>3</v>
      </c>
      <c r="E1" t="s">
        <v>22</v>
      </c>
      <c r="F1" t="s">
        <v>2</v>
      </c>
      <c r="G1" t="s">
        <v>33</v>
      </c>
    </row>
    <row r="2" spans="1:7" x14ac:dyDescent="0.35">
      <c r="A2" s="9" t="b">
        <v>1</v>
      </c>
      <c r="B2" t="s">
        <v>21</v>
      </c>
      <c r="C2" t="s">
        <v>107</v>
      </c>
      <c r="D2" s="3" t="s">
        <v>25</v>
      </c>
      <c r="E2" t="s">
        <v>23</v>
      </c>
      <c r="F2" t="s">
        <v>24</v>
      </c>
    </row>
    <row r="3" spans="1:7" x14ac:dyDescent="0.35">
      <c r="A3" s="9" t="b">
        <v>1</v>
      </c>
      <c r="B3" t="s">
        <v>26</v>
      </c>
      <c r="C3" t="s">
        <v>107</v>
      </c>
      <c r="D3" s="3" t="s">
        <v>25</v>
      </c>
      <c r="E3" t="s">
        <v>23</v>
      </c>
      <c r="F3" t="s">
        <v>27</v>
      </c>
    </row>
    <row r="4" spans="1:7" x14ac:dyDescent="0.35">
      <c r="A4" s="9" t="b">
        <v>1</v>
      </c>
      <c r="B4" t="s">
        <v>28</v>
      </c>
      <c r="C4" t="s">
        <v>107</v>
      </c>
      <c r="D4" s="3" t="s">
        <v>25</v>
      </c>
      <c r="E4" t="s">
        <v>23</v>
      </c>
      <c r="F4" t="s">
        <v>29</v>
      </c>
    </row>
    <row r="5" spans="1:7" x14ac:dyDescent="0.35">
      <c r="A5" s="9" t="b">
        <v>1</v>
      </c>
      <c r="B5" t="s">
        <v>31</v>
      </c>
      <c r="C5" t="s">
        <v>107</v>
      </c>
      <c r="D5" s="3" t="s">
        <v>25</v>
      </c>
      <c r="E5" t="s">
        <v>23</v>
      </c>
      <c r="F5" t="s">
        <v>30</v>
      </c>
    </row>
    <row r="6" spans="1:7" x14ac:dyDescent="0.35">
      <c r="A6" s="9" t="b">
        <v>0</v>
      </c>
    </row>
    <row r="7" spans="1:7" x14ac:dyDescent="0.35">
      <c r="A7" s="9" t="b">
        <v>0</v>
      </c>
    </row>
    <row r="8" spans="1:7" x14ac:dyDescent="0.35">
      <c r="A8" s="9" t="b">
        <v>0</v>
      </c>
    </row>
    <row r="9" spans="1:7" x14ac:dyDescent="0.35">
      <c r="A9" s="9" t="b">
        <v>0</v>
      </c>
    </row>
    <row r="10" spans="1:7" x14ac:dyDescent="0.35">
      <c r="A10" s="9" t="b">
        <v>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4EE80-6917-43D6-8B0A-D27EC0A92AF4}">
  <dimension ref="A1:D13"/>
  <sheetViews>
    <sheetView workbookViewId="0">
      <selection activeCell="A5" sqref="A5"/>
    </sheetView>
  </sheetViews>
  <sheetFormatPr defaultColWidth="0" defaultRowHeight="14.5" zeroHeight="1" x14ac:dyDescent="0.35"/>
  <cols>
    <col min="1" max="1" width="17" customWidth="1"/>
    <col min="2" max="2" width="17.7265625" customWidth="1"/>
    <col min="3" max="3" width="24" customWidth="1"/>
    <col min="4" max="4" width="37.08984375" customWidth="1"/>
    <col min="5" max="16384" width="8.7265625" hidden="1"/>
  </cols>
  <sheetData>
    <row r="1" spans="1:4" x14ac:dyDescent="0.35">
      <c r="A1" t="s">
        <v>203</v>
      </c>
      <c r="B1" t="s">
        <v>82</v>
      </c>
      <c r="C1" t="s">
        <v>2</v>
      </c>
      <c r="D1" t="s">
        <v>33</v>
      </c>
    </row>
    <row r="2" spans="1:4" x14ac:dyDescent="0.35">
      <c r="A2" s="9" t="b">
        <v>0</v>
      </c>
      <c r="B2" t="s">
        <v>238</v>
      </c>
      <c r="C2" t="s">
        <v>208</v>
      </c>
      <c r="D2" t="s">
        <v>239</v>
      </c>
    </row>
    <row r="3" spans="1:4" x14ac:dyDescent="0.35">
      <c r="A3" s="9" t="b">
        <v>0</v>
      </c>
      <c r="B3" t="s">
        <v>136</v>
      </c>
      <c r="C3" t="s">
        <v>137</v>
      </c>
      <c r="D3" t="s">
        <v>138</v>
      </c>
    </row>
    <row r="4" spans="1:4" x14ac:dyDescent="0.35">
      <c r="A4" s="9" t="b">
        <v>1</v>
      </c>
      <c r="B4" t="s">
        <v>240</v>
      </c>
      <c r="C4" t="s">
        <v>241</v>
      </c>
      <c r="D4" t="s">
        <v>242</v>
      </c>
    </row>
    <row r="5" spans="1:4" x14ac:dyDescent="0.35">
      <c r="A5" s="9" t="b">
        <v>0</v>
      </c>
    </row>
    <row r="6" spans="1:4" x14ac:dyDescent="0.35">
      <c r="A6" s="9" t="b">
        <v>0</v>
      </c>
    </row>
    <row r="7" spans="1:4" x14ac:dyDescent="0.35">
      <c r="A7" s="9" t="b">
        <v>0</v>
      </c>
    </row>
    <row r="8" spans="1:4" x14ac:dyDescent="0.35">
      <c r="A8" s="9" t="b">
        <v>0</v>
      </c>
    </row>
    <row r="9" spans="1:4" x14ac:dyDescent="0.35">
      <c r="A9" s="9" t="b">
        <v>0</v>
      </c>
    </row>
    <row r="10" spans="1:4" x14ac:dyDescent="0.35">
      <c r="A10" s="9" t="b">
        <v>0</v>
      </c>
    </row>
    <row r="11" spans="1:4" x14ac:dyDescent="0.35">
      <c r="A11" s="9" t="b">
        <v>0</v>
      </c>
    </row>
    <row r="12" spans="1:4" x14ac:dyDescent="0.35">
      <c r="A12" s="9" t="b">
        <v>0</v>
      </c>
    </row>
    <row r="13" spans="1:4" x14ac:dyDescent="0.35">
      <c r="A13" s="9" t="b">
        <v>0</v>
      </c>
    </row>
  </sheetData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58675A-C2E2-4804-A061-74EF114D288F}">
  <dimension ref="A1:J11"/>
  <sheetViews>
    <sheetView zoomScale="113" workbookViewId="0">
      <selection activeCell="D9" sqref="D9"/>
    </sheetView>
  </sheetViews>
  <sheetFormatPr defaultColWidth="0" defaultRowHeight="14.5" zeroHeight="1" x14ac:dyDescent="0.35"/>
  <cols>
    <col min="1" max="1" width="17.90625" style="14" customWidth="1"/>
    <col min="2" max="2" width="18.6328125" style="14" customWidth="1"/>
    <col min="3" max="8" width="11.7265625" style="14" customWidth="1"/>
    <col min="9" max="9" width="20.26953125" style="14" customWidth="1"/>
    <col min="10" max="10" width="34.36328125" style="14" customWidth="1"/>
    <col min="11" max="16384" width="8.7265625" style="14" hidden="1"/>
  </cols>
  <sheetData>
    <row r="1" spans="1:10" x14ac:dyDescent="0.35">
      <c r="A1" s="14" t="s">
        <v>203</v>
      </c>
      <c r="B1" s="14" t="s">
        <v>84</v>
      </c>
      <c r="C1" s="14" t="s">
        <v>221</v>
      </c>
      <c r="D1" s="14" t="s">
        <v>224</v>
      </c>
      <c r="E1" s="14" t="s">
        <v>223</v>
      </c>
      <c r="F1" s="14" t="s">
        <v>225</v>
      </c>
      <c r="G1" s="14" t="s">
        <v>226</v>
      </c>
      <c r="H1" s="14" t="s">
        <v>227</v>
      </c>
      <c r="I1" s="14" t="s">
        <v>2</v>
      </c>
      <c r="J1" s="14" t="s">
        <v>33</v>
      </c>
    </row>
    <row r="2" spans="1:10" x14ac:dyDescent="0.35">
      <c r="A2" s="13" t="b">
        <v>1</v>
      </c>
      <c r="B2" s="14" t="s">
        <v>222</v>
      </c>
      <c r="C2" s="14">
        <v>30</v>
      </c>
      <c r="D2" s="14">
        <v>2</v>
      </c>
      <c r="E2" s="14">
        <v>2</v>
      </c>
      <c r="F2" s="14">
        <v>2</v>
      </c>
      <c r="G2" s="14">
        <v>24</v>
      </c>
      <c r="H2" s="14">
        <v>1</v>
      </c>
      <c r="I2" s="14" t="s">
        <v>228</v>
      </c>
    </row>
    <row r="3" spans="1:10" x14ac:dyDescent="0.35">
      <c r="A3" s="13" t="b">
        <v>1</v>
      </c>
      <c r="B3" s="14" t="s">
        <v>85</v>
      </c>
      <c r="C3" s="14">
        <v>48</v>
      </c>
      <c r="D3" s="14">
        <v>2</v>
      </c>
      <c r="E3" s="14">
        <v>2</v>
      </c>
      <c r="F3" s="14">
        <v>2</v>
      </c>
      <c r="G3" s="14">
        <v>24</v>
      </c>
      <c r="H3" s="14">
        <v>1</v>
      </c>
      <c r="I3" s="14" t="s">
        <v>86</v>
      </c>
    </row>
    <row r="4" spans="1:10" x14ac:dyDescent="0.35">
      <c r="A4" s="13" t="b">
        <v>0</v>
      </c>
    </row>
    <row r="5" spans="1:10" x14ac:dyDescent="0.35">
      <c r="A5" s="13" t="b">
        <v>0</v>
      </c>
    </row>
    <row r="6" spans="1:10" x14ac:dyDescent="0.35">
      <c r="A6" s="13" t="b">
        <v>0</v>
      </c>
    </row>
    <row r="7" spans="1:10" x14ac:dyDescent="0.35">
      <c r="A7" s="13" t="b">
        <v>0</v>
      </c>
    </row>
    <row r="8" spans="1:10" x14ac:dyDescent="0.35">
      <c r="A8" s="13" t="b">
        <v>0</v>
      </c>
    </row>
    <row r="9" spans="1:10" x14ac:dyDescent="0.35">
      <c r="A9" s="13" t="b">
        <v>0</v>
      </c>
    </row>
    <row r="10" spans="1:10" x14ac:dyDescent="0.35">
      <c r="A10" s="13" t="b">
        <v>0</v>
      </c>
    </row>
    <row r="11" spans="1:10" x14ac:dyDescent="0.35">
      <c r="A11" s="13" t="b">
        <v>0</v>
      </c>
    </row>
  </sheetData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73385E-A93D-4809-A6CB-D5FDE97D6171}">
  <dimension ref="A1:H22"/>
  <sheetViews>
    <sheetView zoomScale="104" workbookViewId="0">
      <selection activeCell="B15" sqref="B15"/>
    </sheetView>
  </sheetViews>
  <sheetFormatPr defaultColWidth="0" defaultRowHeight="14.5" zeroHeight="1" x14ac:dyDescent="0.35"/>
  <cols>
    <col min="1" max="1" width="17.1796875" style="19" customWidth="1"/>
    <col min="2" max="2" width="14.6328125" customWidth="1"/>
    <col min="3" max="3" width="9.7265625" customWidth="1"/>
    <col min="4" max="4" width="11.1796875" style="3" customWidth="1"/>
    <col min="5" max="5" width="10" style="3" customWidth="1"/>
    <col min="6" max="6" width="9.7265625" style="3" customWidth="1"/>
    <col min="7" max="7" width="24.453125" style="3" customWidth="1"/>
    <col min="8" max="8" width="31.26953125" style="3" customWidth="1"/>
    <col min="9" max="16384" width="8.7265625" style="3" hidden="1"/>
  </cols>
  <sheetData>
    <row r="1" spans="1:8" x14ac:dyDescent="0.35">
      <c r="A1" s="8" t="s">
        <v>203</v>
      </c>
      <c r="B1" s="8" t="s">
        <v>45</v>
      </c>
      <c r="C1" s="8" t="s">
        <v>229</v>
      </c>
      <c r="D1" s="8" t="s">
        <v>51</v>
      </c>
      <c r="E1" s="8" t="s">
        <v>3</v>
      </c>
      <c r="F1" s="8" t="s">
        <v>52</v>
      </c>
      <c r="G1" s="8" t="s">
        <v>2</v>
      </c>
      <c r="H1" s="8" t="s">
        <v>33</v>
      </c>
    </row>
    <row r="2" spans="1:8" x14ac:dyDescent="0.35">
      <c r="A2" s="18" t="b">
        <v>1</v>
      </c>
      <c r="B2" s="15">
        <v>27</v>
      </c>
      <c r="C2" s="17">
        <f t="shared" ref="C2:C22" si="0">IF(ISNUMBER(B2),
IF(B2=0,"",B2),
VALUE(LEFT(B2,LEN(B2)-1))*
IF(RIGHT(B2,1)="k",1000,
IF(RIGHT(B2,1)="M",1000000,
IF(RIGHT(B2,1)="m",0.001,1))))</f>
        <v>27</v>
      </c>
      <c r="D2" s="16" t="s">
        <v>54</v>
      </c>
      <c r="E2" s="16" t="s">
        <v>9</v>
      </c>
      <c r="F2" s="16" t="s">
        <v>199</v>
      </c>
      <c r="G2" s="16" t="s">
        <v>57</v>
      </c>
      <c r="H2" s="16" t="s">
        <v>58</v>
      </c>
    </row>
    <row r="3" spans="1:8" x14ac:dyDescent="0.35">
      <c r="A3" s="18" t="b">
        <v>1</v>
      </c>
      <c r="B3" s="15">
        <v>33</v>
      </c>
      <c r="C3" s="17">
        <f t="shared" si="0"/>
        <v>33</v>
      </c>
      <c r="D3" s="16" t="s">
        <v>66</v>
      </c>
      <c r="E3" s="16" t="s">
        <v>9</v>
      </c>
      <c r="F3" s="16" t="s">
        <v>67</v>
      </c>
      <c r="G3" s="16" t="s">
        <v>64</v>
      </c>
      <c r="H3" s="16" t="s">
        <v>65</v>
      </c>
    </row>
    <row r="4" spans="1:8" x14ac:dyDescent="0.35">
      <c r="A4" s="18" t="b">
        <v>1</v>
      </c>
      <c r="B4" s="15">
        <v>100</v>
      </c>
      <c r="C4" s="17">
        <f t="shared" si="0"/>
        <v>100</v>
      </c>
      <c r="D4" s="16" t="s">
        <v>54</v>
      </c>
      <c r="E4" s="16" t="s">
        <v>9</v>
      </c>
      <c r="F4" s="16" t="s">
        <v>199</v>
      </c>
      <c r="G4" s="16" t="s">
        <v>243</v>
      </c>
      <c r="H4" s="16" t="s">
        <v>244</v>
      </c>
    </row>
    <row r="5" spans="1:8" x14ac:dyDescent="0.35">
      <c r="A5" s="18" t="b">
        <v>1</v>
      </c>
      <c r="B5" s="15">
        <v>220</v>
      </c>
      <c r="C5" s="17">
        <f t="shared" si="0"/>
        <v>220</v>
      </c>
      <c r="D5" s="16" t="s">
        <v>54</v>
      </c>
      <c r="E5" s="16" t="s">
        <v>9</v>
      </c>
      <c r="F5" s="16" t="s">
        <v>199</v>
      </c>
      <c r="G5" s="16" t="s">
        <v>63</v>
      </c>
      <c r="H5" s="16" t="s">
        <v>62</v>
      </c>
    </row>
    <row r="6" spans="1:8" x14ac:dyDescent="0.35">
      <c r="A6" s="18" t="b">
        <v>1</v>
      </c>
      <c r="B6" s="15">
        <v>220</v>
      </c>
      <c r="C6" s="17">
        <f t="shared" si="0"/>
        <v>220</v>
      </c>
      <c r="D6" s="16" t="s">
        <v>54</v>
      </c>
      <c r="E6" s="16" t="s">
        <v>25</v>
      </c>
      <c r="F6" s="16" t="s">
        <v>141</v>
      </c>
      <c r="G6" s="16" t="s">
        <v>170</v>
      </c>
      <c r="H6" s="16" t="s">
        <v>169</v>
      </c>
    </row>
    <row r="7" spans="1:8" x14ac:dyDescent="0.35">
      <c r="A7" s="18" t="b">
        <v>1</v>
      </c>
      <c r="B7" s="15" t="s">
        <v>61</v>
      </c>
      <c r="C7" s="17">
        <f t="shared" si="0"/>
        <v>1000</v>
      </c>
      <c r="D7" s="16" t="s">
        <v>54</v>
      </c>
      <c r="E7" s="16" t="s">
        <v>9</v>
      </c>
      <c r="F7" s="16" t="s">
        <v>199</v>
      </c>
      <c r="G7" s="16" t="s">
        <v>59</v>
      </c>
      <c r="H7" s="16" t="s">
        <v>60</v>
      </c>
    </row>
    <row r="8" spans="1:8" x14ac:dyDescent="0.35">
      <c r="A8" s="18" t="b">
        <v>1</v>
      </c>
      <c r="B8" s="15" t="s">
        <v>61</v>
      </c>
      <c r="C8" s="17">
        <f t="shared" si="0"/>
        <v>1000</v>
      </c>
      <c r="D8" s="16" t="s">
        <v>66</v>
      </c>
      <c r="E8" s="16" t="s">
        <v>25</v>
      </c>
      <c r="F8" s="16" t="s">
        <v>199</v>
      </c>
      <c r="G8" s="16" t="s">
        <v>134</v>
      </c>
      <c r="H8" s="16" t="s">
        <v>135</v>
      </c>
    </row>
    <row r="9" spans="1:8" x14ac:dyDescent="0.35">
      <c r="A9" s="18" t="b">
        <v>1</v>
      </c>
      <c r="B9" s="15" t="s">
        <v>70</v>
      </c>
      <c r="C9" s="17">
        <f t="shared" si="0"/>
        <v>2000</v>
      </c>
      <c r="D9" s="16" t="s">
        <v>71</v>
      </c>
      <c r="E9" s="16" t="s">
        <v>9</v>
      </c>
      <c r="F9" s="16" t="s">
        <v>199</v>
      </c>
      <c r="G9" s="16" t="s">
        <v>68</v>
      </c>
      <c r="H9" s="16" t="s">
        <v>69</v>
      </c>
    </row>
    <row r="10" spans="1:8" x14ac:dyDescent="0.35">
      <c r="A10" s="18" t="b">
        <v>1</v>
      </c>
      <c r="B10" s="15" t="s">
        <v>53</v>
      </c>
      <c r="C10" s="17">
        <f t="shared" si="0"/>
        <v>5100</v>
      </c>
      <c r="D10" s="16" t="s">
        <v>54</v>
      </c>
      <c r="E10" s="16" t="s">
        <v>9</v>
      </c>
      <c r="F10" s="16" t="s">
        <v>199</v>
      </c>
      <c r="G10" s="16" t="s">
        <v>55</v>
      </c>
      <c r="H10" s="16" t="s">
        <v>56</v>
      </c>
    </row>
    <row r="11" spans="1:8" x14ac:dyDescent="0.35">
      <c r="A11" s="18" t="b">
        <v>1</v>
      </c>
      <c r="B11" s="15" t="s">
        <v>139</v>
      </c>
      <c r="C11" s="17">
        <f t="shared" si="0"/>
        <v>10000</v>
      </c>
      <c r="D11" s="16" t="s">
        <v>140</v>
      </c>
      <c r="E11" s="16" t="s">
        <v>25</v>
      </c>
      <c r="F11" s="16" t="s">
        <v>141</v>
      </c>
      <c r="G11" s="16" t="s">
        <v>142</v>
      </c>
      <c r="H11" s="16" t="s">
        <v>143</v>
      </c>
    </row>
    <row r="12" spans="1:8" x14ac:dyDescent="0.35">
      <c r="A12" s="18" t="b">
        <v>1</v>
      </c>
      <c r="B12" s="15" t="s">
        <v>139</v>
      </c>
      <c r="C12" s="17">
        <f t="shared" si="0"/>
        <v>10000</v>
      </c>
      <c r="D12" s="16" t="s">
        <v>54</v>
      </c>
      <c r="E12" s="16" t="s">
        <v>9</v>
      </c>
      <c r="F12" s="16" t="s">
        <v>199</v>
      </c>
      <c r="G12" s="16" t="s">
        <v>168</v>
      </c>
      <c r="H12" s="16" t="s">
        <v>167</v>
      </c>
    </row>
    <row r="13" spans="1:8" x14ac:dyDescent="0.35">
      <c r="A13" s="18" t="b">
        <v>1</v>
      </c>
      <c r="B13" s="15" t="s">
        <v>144</v>
      </c>
      <c r="C13" s="17">
        <f t="shared" si="0"/>
        <v>52300</v>
      </c>
      <c r="D13" s="16" t="s">
        <v>54</v>
      </c>
      <c r="E13" s="16" t="s">
        <v>25</v>
      </c>
      <c r="F13" s="16" t="s">
        <v>141</v>
      </c>
      <c r="G13" s="16" t="s">
        <v>145</v>
      </c>
      <c r="H13" s="16" t="s">
        <v>146</v>
      </c>
    </row>
    <row r="14" spans="1:8" x14ac:dyDescent="0.35">
      <c r="A14" s="18" t="b">
        <v>0</v>
      </c>
      <c r="B14" s="15">
        <v>0</v>
      </c>
      <c r="C14" s="17" t="str">
        <f t="shared" si="0"/>
        <v/>
      </c>
      <c r="D14" s="16"/>
      <c r="E14" s="16"/>
      <c r="F14" s="16"/>
      <c r="G14" s="16"/>
      <c r="H14" s="16"/>
    </row>
    <row r="15" spans="1:8" x14ac:dyDescent="0.35">
      <c r="A15" s="18" t="b">
        <v>0</v>
      </c>
      <c r="B15" s="15">
        <v>0</v>
      </c>
      <c r="C15" s="17" t="str">
        <f t="shared" si="0"/>
        <v/>
      </c>
      <c r="D15" s="16"/>
      <c r="E15" s="16"/>
      <c r="F15" s="16"/>
      <c r="G15" s="16"/>
      <c r="H15" s="16"/>
    </row>
    <row r="16" spans="1:8" x14ac:dyDescent="0.35">
      <c r="A16" s="18" t="b">
        <v>0</v>
      </c>
      <c r="B16" s="15">
        <v>0</v>
      </c>
      <c r="C16" s="17" t="str">
        <f t="shared" si="0"/>
        <v/>
      </c>
      <c r="D16" s="16"/>
      <c r="E16" s="16"/>
      <c r="F16" s="16"/>
      <c r="G16" s="16"/>
      <c r="H16" s="16"/>
    </row>
    <row r="17" spans="1:8" x14ac:dyDescent="0.35">
      <c r="A17" s="18" t="b">
        <v>0</v>
      </c>
      <c r="B17" s="15">
        <v>0</v>
      </c>
      <c r="C17" s="17" t="str">
        <f t="shared" si="0"/>
        <v/>
      </c>
      <c r="D17" s="16"/>
      <c r="E17" s="16"/>
      <c r="F17" s="16"/>
      <c r="G17" s="16"/>
      <c r="H17" s="16"/>
    </row>
    <row r="18" spans="1:8" x14ac:dyDescent="0.35">
      <c r="A18" s="18" t="b">
        <v>0</v>
      </c>
      <c r="B18" s="15">
        <v>0</v>
      </c>
      <c r="C18" s="17" t="str">
        <f t="shared" si="0"/>
        <v/>
      </c>
      <c r="D18" s="16"/>
      <c r="E18" s="16"/>
      <c r="F18" s="16"/>
      <c r="G18" s="16"/>
      <c r="H18" s="16"/>
    </row>
    <row r="19" spans="1:8" x14ac:dyDescent="0.35">
      <c r="A19" s="18" t="b">
        <v>0</v>
      </c>
      <c r="B19" s="15">
        <v>0</v>
      </c>
      <c r="C19" s="17" t="str">
        <f t="shared" si="0"/>
        <v/>
      </c>
      <c r="D19" s="16"/>
      <c r="E19" s="16"/>
      <c r="F19" s="16"/>
      <c r="G19" s="16"/>
      <c r="H19" s="16"/>
    </row>
    <row r="20" spans="1:8" x14ac:dyDescent="0.35">
      <c r="A20" s="18" t="b">
        <v>0</v>
      </c>
      <c r="B20" s="15">
        <v>0</v>
      </c>
      <c r="C20" s="17" t="str">
        <f t="shared" si="0"/>
        <v/>
      </c>
      <c r="D20" s="16"/>
      <c r="E20" s="16"/>
      <c r="F20" s="16"/>
      <c r="G20" s="16"/>
      <c r="H20" s="16"/>
    </row>
    <row r="21" spans="1:8" x14ac:dyDescent="0.35">
      <c r="A21" s="18" t="b">
        <v>0</v>
      </c>
      <c r="B21" s="15">
        <v>0</v>
      </c>
      <c r="C21" s="17" t="str">
        <f t="shared" si="0"/>
        <v/>
      </c>
      <c r="D21" s="16"/>
      <c r="E21" s="16"/>
      <c r="F21" s="16"/>
      <c r="G21" s="16"/>
      <c r="H21" s="16"/>
    </row>
    <row r="22" spans="1:8" x14ac:dyDescent="0.35">
      <c r="A22" s="18" t="b">
        <v>0</v>
      </c>
      <c r="B22" s="15">
        <v>0</v>
      </c>
      <c r="C22" s="17" t="str">
        <f t="shared" si="0"/>
        <v/>
      </c>
      <c r="D22" s="16"/>
      <c r="E22" s="16"/>
      <c r="F22" s="16"/>
      <c r="G22" s="16"/>
      <c r="H22" s="16"/>
    </row>
  </sheetData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72A382-E462-4BE1-97F8-C914956E97E2}">
  <dimension ref="A1:G11"/>
  <sheetViews>
    <sheetView workbookViewId="0">
      <selection activeCell="B5" sqref="B5"/>
    </sheetView>
  </sheetViews>
  <sheetFormatPr defaultColWidth="0" defaultRowHeight="14.5" zeroHeight="1" x14ac:dyDescent="0.35"/>
  <cols>
    <col min="1" max="1" width="16.90625" customWidth="1"/>
    <col min="2" max="2" width="22.26953125" customWidth="1"/>
    <col min="3" max="3" width="13.81640625" customWidth="1"/>
    <col min="4" max="4" width="19.26953125" customWidth="1"/>
    <col min="5" max="5" width="14.90625" customWidth="1"/>
    <col min="6" max="6" width="20.90625" customWidth="1"/>
    <col min="7" max="7" width="41.81640625" customWidth="1"/>
    <col min="8" max="16384" width="8.7265625" hidden="1"/>
  </cols>
  <sheetData>
    <row r="1" spans="1:7" x14ac:dyDescent="0.35">
      <c r="A1" t="s">
        <v>203</v>
      </c>
      <c r="B1" t="s">
        <v>82</v>
      </c>
      <c r="C1" t="s">
        <v>72</v>
      </c>
      <c r="D1" t="s">
        <v>2</v>
      </c>
      <c r="E1" t="s">
        <v>73</v>
      </c>
      <c r="F1" t="s">
        <v>74</v>
      </c>
      <c r="G1" t="s">
        <v>33</v>
      </c>
    </row>
    <row r="2" spans="1:7" x14ac:dyDescent="0.35">
      <c r="A2" s="9" t="b">
        <v>1</v>
      </c>
      <c r="B2" t="s">
        <v>200</v>
      </c>
      <c r="C2" t="s">
        <v>76</v>
      </c>
      <c r="D2" t="s">
        <v>77</v>
      </c>
      <c r="E2" t="s">
        <v>78</v>
      </c>
      <c r="F2" t="s">
        <v>79</v>
      </c>
      <c r="G2" t="s">
        <v>75</v>
      </c>
    </row>
    <row r="3" spans="1:7" x14ac:dyDescent="0.35">
      <c r="A3" s="9" t="b">
        <v>0</v>
      </c>
    </row>
    <row r="4" spans="1:7" x14ac:dyDescent="0.35">
      <c r="A4" s="9" t="b">
        <v>0</v>
      </c>
    </row>
    <row r="5" spans="1:7" x14ac:dyDescent="0.35">
      <c r="A5" s="9" t="b">
        <v>0</v>
      </c>
    </row>
    <row r="6" spans="1:7" x14ac:dyDescent="0.35">
      <c r="A6" s="9" t="b">
        <v>0</v>
      </c>
    </row>
    <row r="7" spans="1:7" x14ac:dyDescent="0.35">
      <c r="A7" s="9" t="b">
        <v>0</v>
      </c>
    </row>
    <row r="8" spans="1:7" x14ac:dyDescent="0.35">
      <c r="A8" s="9" t="b">
        <v>0</v>
      </c>
    </row>
    <row r="9" spans="1:7" x14ac:dyDescent="0.35">
      <c r="A9" s="9" t="b">
        <v>0</v>
      </c>
    </row>
    <row r="10" spans="1:7" x14ac:dyDescent="0.35">
      <c r="A10" s="9" t="b">
        <v>0</v>
      </c>
    </row>
    <row r="11" spans="1:7" x14ac:dyDescent="0.35">
      <c r="A11" s="9" t="b">
        <v>0</v>
      </c>
    </row>
  </sheetData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9ACF1C-C12B-4B5A-BD57-0454748C5027}">
  <dimension ref="A1:H12"/>
  <sheetViews>
    <sheetView workbookViewId="0">
      <selection activeCell="C6" sqref="C6"/>
    </sheetView>
  </sheetViews>
  <sheetFormatPr defaultColWidth="0" defaultRowHeight="14.5" zeroHeight="1" x14ac:dyDescent="0.35"/>
  <cols>
    <col min="1" max="1" width="18.1796875" customWidth="1"/>
    <col min="2" max="2" width="16.26953125" customWidth="1"/>
    <col min="3" max="3" width="13.1796875" customWidth="1"/>
    <col min="4" max="4" width="16.26953125" customWidth="1"/>
    <col min="5" max="5" width="15.26953125" customWidth="1"/>
    <col min="6" max="7" width="18.54296875" customWidth="1"/>
    <col min="8" max="8" width="54.90625" customWidth="1"/>
    <col min="9" max="16384" width="8.7265625" hidden="1"/>
  </cols>
  <sheetData>
    <row r="1" spans="1:8" x14ac:dyDescent="0.35">
      <c r="A1" t="s">
        <v>203</v>
      </c>
      <c r="B1" t="s">
        <v>87</v>
      </c>
      <c r="C1" t="s">
        <v>230</v>
      </c>
      <c r="D1" t="s">
        <v>232</v>
      </c>
      <c r="E1" t="s">
        <v>89</v>
      </c>
      <c r="F1" t="s">
        <v>92</v>
      </c>
      <c r="G1" t="s">
        <v>2</v>
      </c>
      <c r="H1" t="s">
        <v>33</v>
      </c>
    </row>
    <row r="2" spans="1:8" x14ac:dyDescent="0.35">
      <c r="A2" s="9" t="b">
        <v>1</v>
      </c>
      <c r="B2" t="s">
        <v>88</v>
      </c>
      <c r="C2" t="s">
        <v>236</v>
      </c>
      <c r="D2" t="s">
        <v>233</v>
      </c>
      <c r="E2" t="s">
        <v>90</v>
      </c>
      <c r="F2" t="s">
        <v>93</v>
      </c>
      <c r="G2" t="s">
        <v>91</v>
      </c>
      <c r="H2" t="s">
        <v>234</v>
      </c>
    </row>
    <row r="3" spans="1:8" x14ac:dyDescent="0.35">
      <c r="A3" s="9" t="b">
        <v>1</v>
      </c>
      <c r="B3" t="s">
        <v>147</v>
      </c>
      <c r="C3" t="s">
        <v>231</v>
      </c>
      <c r="D3" t="s">
        <v>235</v>
      </c>
      <c r="E3" t="s">
        <v>150</v>
      </c>
      <c r="F3" t="s">
        <v>148</v>
      </c>
      <c r="G3" t="s">
        <v>149</v>
      </c>
      <c r="H3" t="s">
        <v>151</v>
      </c>
    </row>
    <row r="4" spans="1:8" x14ac:dyDescent="0.35">
      <c r="A4" s="9" t="b">
        <v>0</v>
      </c>
    </row>
    <row r="5" spans="1:8" x14ac:dyDescent="0.35">
      <c r="A5" s="9" t="b">
        <v>0</v>
      </c>
    </row>
    <row r="6" spans="1:8" x14ac:dyDescent="0.35">
      <c r="A6" s="9" t="b">
        <v>0</v>
      </c>
    </row>
    <row r="7" spans="1:8" x14ac:dyDescent="0.35">
      <c r="A7" s="9" t="b">
        <v>0</v>
      </c>
    </row>
    <row r="8" spans="1:8" x14ac:dyDescent="0.35">
      <c r="A8" s="9" t="b">
        <v>0</v>
      </c>
    </row>
    <row r="9" spans="1:8" x14ac:dyDescent="0.35">
      <c r="A9" s="9" t="b">
        <v>0</v>
      </c>
    </row>
    <row r="10" spans="1:8" x14ac:dyDescent="0.35">
      <c r="A10" s="9" t="b">
        <v>0</v>
      </c>
    </row>
    <row r="11" spans="1:8" x14ac:dyDescent="0.35">
      <c r="A11" s="9" t="b">
        <v>0</v>
      </c>
    </row>
    <row r="12" spans="1:8" x14ac:dyDescent="0.35">
      <c r="A12" s="9" t="b">
        <v>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Welcome!</vt:lpstr>
      <vt:lpstr>Capacitors</vt:lpstr>
      <vt:lpstr>Connectors</vt:lpstr>
      <vt:lpstr>Crystals &amp; Oscillators</vt:lpstr>
      <vt:lpstr>Diodes</vt:lpstr>
      <vt:lpstr>Devices</vt:lpstr>
      <vt:lpstr>Ferrite Beads</vt:lpstr>
      <vt:lpstr>Fuses</vt:lpstr>
      <vt:lpstr>ICs</vt:lpstr>
      <vt:lpstr>Inductors</vt:lpstr>
      <vt:lpstr>LEDs</vt:lpstr>
      <vt:lpstr>Misc Components</vt:lpstr>
      <vt:lpstr>MCUs</vt:lpstr>
      <vt:lpstr>Resistors</vt:lpstr>
      <vt:lpstr>Switches</vt:lpstr>
      <vt:lpstr>Voltage Regulators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MacGregor, Russell</dc:creator>
  <cp:lastModifiedBy>MacGregor, Russell</cp:lastModifiedBy>
  <dcterms:created xsi:type="dcterms:W3CDTF">2026-02-05T20:24:51Z</dcterms:created>
  <dcterms:modified xsi:type="dcterms:W3CDTF">2026-02-16T21:27:59Z</dcterms:modified>
</cp:coreProperties>
</file>