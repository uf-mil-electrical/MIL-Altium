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31F93B3C-326B-40A2-8B45-DFF4E426773E}" xr6:coauthVersionLast="47" xr6:coauthVersionMax="47" xr10:uidLastSave="{00000000-0000-0000-0000-000000000000}"/>
  <bookViews>
    <workbookView xWindow="-110" yWindow="-110" windowWidth="25820" windowHeight="15500" firstSheet="1" activeTab="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<sst xmlns="http://schemas.openxmlformats.org/spreadsheetml/2006/main" count="1427" uniqueCount="831">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</sst>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1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2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60"/>
    <tableColumn id="5" xr3:uid="{0460994E-DB61-407B-B7D3-3CAA8ED4BC9D}" name="Function" dataDxfId="5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8">
  <autoFilter ref="A1:F50" xr:uid="{C5737D88-F4D8-4117-9BA5-1B2CC31DE11A}"/>
  <tableColumns count="6">
    <tableColumn id="7" xr3:uid="{6415E46E-CEE3-460F-B779-529E15CD07B6}" name="Added to Altium?" dataDxfId="57"/>
    <tableColumn id="8" xr3:uid="{A1AE6712-2A25-444F-8418-5CCFC5CDB835}" name="Series" dataDxfId="56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5">
  <autoFilter ref="A1:E11" xr:uid="{EE7552C4-F486-457F-A2F8-480493B7351C}"/>
  <tableColumns count="5">
    <tableColumn id="5" xr3:uid="{7A1ACCA6-7C12-421C-A8B0-DAF52C5B82F1}" name="Added to Altium?" dataDxfId="54"/>
    <tableColumn id="1" xr3:uid="{29766E43-A003-4F30-8FBC-98197408FA6D}" name="Part Number" dataDxfId="53"/>
    <tableColumn id="2" xr3:uid="{9E0E83BD-C619-4B71-B8D8-093D6B07D9D5}" name="Package" dataDxfId="52"/>
    <tableColumn id="3" xr3:uid="{6C643D04-D582-419C-9C7F-1B57D4315CFE}" name="Resistance" dataDxfId="51"/>
    <tableColumn id="4" xr3:uid="{67D14711-9F21-4BBC-9182-15BB5F898016}" name="Description" dataDxfId="50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9">
  <autoFilter ref="A1:I10" xr:uid="{53E52592-BBF3-4884-BA3C-21683DC4F0F1}"/>
  <tableColumns count="9">
    <tableColumn id="7" xr3:uid="{9030A4FE-0A13-4A65-8271-CB2306DED874}" name="Added to Altium?" dataDxfId="48"/>
    <tableColumn id="8" xr3:uid="{7A093B6F-93A8-4A04-9A40-8451BE8854E4}" name="Type" dataDxfId="47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6">
  <autoFilter ref="A1:E11" xr:uid="{8788865D-3714-4394-BD76-99FF24EF6888}"/>
  <tableColumns count="5">
    <tableColumn id="5" xr3:uid="{67CA846A-F07D-4034-8F63-B4E47CA7F931}" name="Added to Altium?" dataDxfId="45"/>
    <tableColumn id="1" xr3:uid="{EBC427FC-C649-421F-A511-F4C6E090217A}" name="Inductance" dataDxfId="44"/>
    <tableColumn id="2" xr3:uid="{57FAF0ED-182E-4A05-89A5-EE5FE9CF2C31}" name="Package" dataDxfId="43"/>
    <tableColumn id="3" xr3:uid="{5B4ACDCC-FB26-4063-91C8-D6D43ABD7134}" name="Part Number" dataDxfId="42"/>
    <tableColumn id="4" xr3:uid="{CFE06357-AAEA-49E4-8ED8-14478316C7C8}" name="Description" dataDxfId="41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0"/>
    <tableColumn id="8" xr3:uid="{22D7B7BF-E3CF-4637-92B5-B74434B0A877}" name="Type" dataDxfId="39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8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7">
  <autoFilter ref="A1:G10" xr:uid="{EF03BBEA-AE4C-45BB-9CD5-736F7FCCE237}"/>
  <tableColumns count="7">
    <tableColumn id="4" xr3:uid="{2AE73037-16FE-4A0E-B4B4-CF3863388825}" name="Added to Altium?" dataDxfId="36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5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4">
  <autoFilter ref="A1:H11" xr:uid="{8788865D-3714-4394-BD76-99FF24EF6888}"/>
  <tableColumns count="8">
    <tableColumn id="5" xr3:uid="{AEAC8F87-1C2D-4AB2-AF57-3B985B9984E8}" name="Added to Altium?" dataDxfId="33"/>
    <tableColumn id="6" xr3:uid="{013363CF-8CB8-438A-8840-8BE5C88DD21A}" name="Type" dataDxfId="32"/>
    <tableColumn id="1" xr3:uid="{D05BE736-0061-4B08-B525-77CB6D52275D}" name="Name" dataDxfId="31"/>
    <tableColumn id="2" xr3:uid="{7A597B79-DB0B-4F42-A26A-5BFC2BE446DB}" name="Shape" dataDxfId="30"/>
    <tableColumn id="3" xr3:uid="{9BE909D1-CB3E-47D8-89BD-A5A9007FC19A}" name="Hole Size (diameter)" dataDxfId="29"/>
    <tableColumn id="8" xr3:uid="{9D59173A-B663-440B-ABB2-B4420C0F2F76}" name="Copper X-Size" dataDxfId="28"/>
    <tableColumn id="7" xr3:uid="{0B466DAF-712F-4EDB-BA0B-281F181D75D1}" name="Copper Y-Size" dataDxfId="27"/>
    <tableColumn id="4" xr3:uid="{63AE9014-61F7-479D-A241-EAA26D52AAA0}" name="Description" dataDxfId="26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5" dataDxfId="24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3"/>
    <tableColumn id="1" xr3:uid="{0881C807-AE0D-4E97-942D-F1BB4BC72740}" name="Name" dataDxfId="22"/>
    <tableColumn id="3" xr3:uid="{FF11C1E0-268B-4AB9-A529-8334EF2C69FD}" name="# GPIO" dataDxfId="21"/>
    <tableColumn id="8" xr3:uid="{55162BE7-C291-4B9F-ABE8-A7DE102A5A2F}" name="UART" dataDxfId="20"/>
    <tableColumn id="9" xr3:uid="{12871EC5-67F1-442C-B9F6-E715FA2B13DA}" name="SPI" dataDxfId="19"/>
    <tableColumn id="10" xr3:uid="{0676FDA2-81C4-49A9-A3D1-DEE7F28D8014}" name="I2C" dataDxfId="18"/>
    <tableColumn id="11" xr3:uid="{4D86DECE-60FC-46A0-B57F-AB144D9C1459}" name="PWM" dataDxfId="17"/>
    <tableColumn id="12" xr3:uid="{F498CA82-C855-4B59-BFFB-E076763E2C7B}" name="USB" dataDxfId="16"/>
    <tableColumn id="6" xr3:uid="{1C8B55E3-7B48-484B-9DEC-D60D33855BF8}" name="Part Number" dataDxfId="15"/>
    <tableColumn id="5" xr3:uid="{EB01044E-239A-43EB-B0C2-1F87DDB54160}" name="Description" dataDxfId="14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3" dataDxfId="12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1"/>
    <tableColumn id="1" xr3:uid="{E2BB1AD3-36C9-4D80-8A78-E46D0D28B43D}" name="Resistance" dataDxfId="10"/>
    <tableColumn id="7" xr3:uid="{C2F2285A-BFA3-4714-8945-6FE63C9CDE81}" name="Res (Raw)" dataDxfId="9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8"/>
    <tableColumn id="3" xr3:uid="{F1269AFE-5CA5-4F00-93B8-6023E945504D}" name="Package" dataDxfId="7"/>
    <tableColumn id="4" xr3:uid="{A4374340-1758-433F-80B6-83ABF6D97E11}" name="Wattage" dataDxfId="6"/>
    <tableColumn id="5" xr3:uid="{7C53E4E9-C23D-4482-9A46-441AB8A4E1B1}" name="Part Number" dataDxfId="5"/>
    <tableColumn id="6" xr3:uid="{BD8216A4-1B75-4738-A589-0D33231AD075}" name="Description" dataDxfId="4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3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2">
  <autoFilter ref="A1:F11" xr:uid="{EA8CC69A-B6DA-4750-BA77-538662D89C27}"/>
  <tableColumns count="6">
    <tableColumn id="7" xr3:uid="{5FA1F5D0-B5EA-4DAB-B07A-643BF29E8565}" name="Added to Altium?" dataDxfId="1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77">
  <autoFilter ref="A1:I40" xr:uid="{EA8CC69A-B6DA-4750-BA77-538662D89C27}"/>
  <tableColumns count="9">
    <tableColumn id="7" xr3:uid="{3A0D6614-B80A-4184-9ADE-5206B38A06E5}" name="Added to Altium?" dataDxfId="76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A21" zoomScale="110" workbookViewId="0">
      <selection activeCell="A30" sqref="A30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1</v>
      </c>
      <c r="B30" t="s">
        <v>294</v>
      </c>
      <c r="C30" s="3" t="s">
        <v>112</v>
      </c>
      <c r="D30" t="s">
        <v>15</v>
      </c>
      <c r="E30" s="5">
        <v>0.2</v>
      </c>
      <c r="F30" s="3" t="s">
        <v>104</v>
      </c>
      <c r="G30" s="3" t="s">
        <v>200</v>
      </c>
      <c r="H30" t="s">
        <v>113</v>
      </c>
      <c r="I30" s="4" t="s">
        <v>770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zoomScale="89" zoomScaleNormal="130" workbookViewId="0">
      <selection activeCell="F7" sqref="F7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1</v>
      </c>
      <c r="B53" s="3" t="s">
        <v>205</v>
      </c>
      <c r="C53" s="12">
        <v>4</v>
      </c>
      <c r="D53" s="3" t="s">
        <v>331</v>
      </c>
      <c r="E53" s="3" t="s">
        <v>724</v>
      </c>
      <c r="G53" s="3" t="s">
        <v>655</v>
      </c>
      <c r="H53" s="3" t="s">
        <v>725</v>
      </c>
    </row>
    <row r="54" spans="1:8" x14ac:dyDescent="0.35">
      <c r="A54" s="10" t="b">
        <v>1</v>
      </c>
      <c r="B54" s="3" t="s">
        <v>205</v>
      </c>
      <c r="C54" s="12">
        <v>8</v>
      </c>
      <c r="D54" s="3" t="s">
        <v>331</v>
      </c>
      <c r="E54" s="3" t="s">
        <v>828</v>
      </c>
      <c r="G54" s="3" t="s">
        <v>829</v>
      </c>
      <c r="H54" s="3" t="s">
        <v>830</v>
      </c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F16" sqref="F1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1</v>
      </c>
      <c r="B12" t="s">
        <v>524</v>
      </c>
      <c r="C12" t="s">
        <v>765</v>
      </c>
      <c r="E12" t="s">
        <v>766</v>
      </c>
      <c r="F12" t="s">
        <v>767</v>
      </c>
      <c r="G12" t="s">
        <v>768</v>
      </c>
      <c r="H12" t="s">
        <v>769</v>
      </c>
    </row>
    <row r="13" spans="1:8" x14ac:dyDescent="0.35">
      <c r="A13" s="9" t="b">
        <v>1</v>
      </c>
      <c r="B13" t="s">
        <v>524</v>
      </c>
      <c r="C13" t="s">
        <v>525</v>
      </c>
      <c r="E13" t="s">
        <v>766</v>
      </c>
      <c r="F13" t="s">
        <v>767</v>
      </c>
      <c r="G13" t="s">
        <v>817</v>
      </c>
      <c r="H13" t="s">
        <v>818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opLeftCell="A15" workbookViewId="0">
      <selection activeCell="A33" sqref="A33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708</v>
      </c>
      <c r="C9" t="s">
        <v>709</v>
      </c>
      <c r="D9" t="s">
        <v>710</v>
      </c>
      <c r="E9" t="s">
        <v>711</v>
      </c>
    </row>
    <row r="10" spans="1:5" x14ac:dyDescent="0.35">
      <c r="A10" s="9" t="b">
        <v>1</v>
      </c>
      <c r="B10" t="s">
        <v>541</v>
      </c>
      <c r="C10" t="s">
        <v>542</v>
      </c>
      <c r="D10" t="s">
        <v>543</v>
      </c>
      <c r="E10" t="s">
        <v>544</v>
      </c>
    </row>
    <row r="11" spans="1:5" x14ac:dyDescent="0.35">
      <c r="A11" s="9" t="b">
        <v>1</v>
      </c>
      <c r="B11" t="s">
        <v>308</v>
      </c>
      <c r="D11" t="s">
        <v>307</v>
      </c>
      <c r="E11" t="s">
        <v>309</v>
      </c>
    </row>
    <row r="12" spans="1:5" x14ac:dyDescent="0.35">
      <c r="A12" s="9" t="b">
        <v>1</v>
      </c>
      <c r="B12" t="s">
        <v>563</v>
      </c>
      <c r="C12" t="s">
        <v>564</v>
      </c>
      <c r="D12" t="s">
        <v>565</v>
      </c>
      <c r="E12" t="s">
        <v>566</v>
      </c>
    </row>
    <row r="13" spans="1:5" x14ac:dyDescent="0.35">
      <c r="A13" s="9" t="b">
        <v>1</v>
      </c>
      <c r="B13" t="s">
        <v>680</v>
      </c>
      <c r="C13" t="s">
        <v>681</v>
      </c>
      <c r="D13" t="s">
        <v>682</v>
      </c>
      <c r="E13" t="s">
        <v>683</v>
      </c>
    </row>
    <row r="14" spans="1:5" x14ac:dyDescent="0.35">
      <c r="A14" s="9" t="b">
        <v>1</v>
      </c>
      <c r="B14" t="s">
        <v>680</v>
      </c>
      <c r="C14" t="s">
        <v>690</v>
      </c>
      <c r="D14" t="s">
        <v>691</v>
      </c>
      <c r="E14" t="s">
        <v>692</v>
      </c>
    </row>
    <row r="15" spans="1:5" x14ac:dyDescent="0.35">
      <c r="A15" s="9" t="b">
        <v>1</v>
      </c>
      <c r="B15" t="s">
        <v>720</v>
      </c>
      <c r="C15" t="s">
        <v>721</v>
      </c>
      <c r="D15" t="s">
        <v>722</v>
      </c>
      <c r="E15" t="s">
        <v>723</v>
      </c>
    </row>
    <row r="16" spans="1:5" x14ac:dyDescent="0.35">
      <c r="A16" s="9" t="b">
        <v>1</v>
      </c>
      <c r="B16" t="s">
        <v>726</v>
      </c>
      <c r="C16" t="s">
        <v>727</v>
      </c>
      <c r="D16" t="s">
        <v>728</v>
      </c>
      <c r="E16" t="s">
        <v>729</v>
      </c>
    </row>
    <row r="17" spans="1:5" x14ac:dyDescent="0.35">
      <c r="A17" s="9" t="b">
        <v>1</v>
      </c>
      <c r="B17" t="s">
        <v>560</v>
      </c>
      <c r="D17" t="s">
        <v>561</v>
      </c>
      <c r="E17" t="s">
        <v>562</v>
      </c>
    </row>
    <row r="18" spans="1:5" x14ac:dyDescent="0.35">
      <c r="A18" s="9" t="b">
        <v>1</v>
      </c>
      <c r="B18" t="s">
        <v>745</v>
      </c>
      <c r="C18" t="s">
        <v>747</v>
      </c>
      <c r="D18" t="s">
        <v>746</v>
      </c>
      <c r="E18" t="s">
        <v>748</v>
      </c>
    </row>
    <row r="19" spans="1:5" x14ac:dyDescent="0.35">
      <c r="A19" s="9" t="b">
        <v>1</v>
      </c>
      <c r="B19" t="s">
        <v>80</v>
      </c>
      <c r="C19" t="s">
        <v>210</v>
      </c>
      <c r="D19" t="s">
        <v>77</v>
      </c>
      <c r="E19" t="s">
        <v>78</v>
      </c>
    </row>
    <row r="20" spans="1:5" x14ac:dyDescent="0.35">
      <c r="A20" s="9" t="b">
        <v>1</v>
      </c>
      <c r="B20" t="s">
        <v>80</v>
      </c>
      <c r="C20" t="s">
        <v>380</v>
      </c>
      <c r="D20" t="s">
        <v>381</v>
      </c>
      <c r="E20" t="s">
        <v>382</v>
      </c>
    </row>
    <row r="21" spans="1:5" x14ac:dyDescent="0.35">
      <c r="A21" s="9" t="b">
        <v>1</v>
      </c>
      <c r="B21" t="s">
        <v>704</v>
      </c>
      <c r="C21" t="s">
        <v>705</v>
      </c>
      <c r="D21" t="s">
        <v>707</v>
      </c>
      <c r="E21" t="s">
        <v>706</v>
      </c>
    </row>
    <row r="22" spans="1:5" x14ac:dyDescent="0.35">
      <c r="A22" s="9" t="b">
        <v>1</v>
      </c>
      <c r="B22" t="s">
        <v>473</v>
      </c>
      <c r="D22" t="s">
        <v>474</v>
      </c>
      <c r="E22" t="s">
        <v>475</v>
      </c>
    </row>
    <row r="23" spans="1:5" x14ac:dyDescent="0.35">
      <c r="A23" s="9" t="b">
        <v>1</v>
      </c>
      <c r="B23" s="4" t="s">
        <v>211</v>
      </c>
      <c r="C23" s="4" t="s">
        <v>521</v>
      </c>
      <c r="D23" t="s">
        <v>91</v>
      </c>
      <c r="E23" t="s">
        <v>92</v>
      </c>
    </row>
    <row r="24" spans="1:5" x14ac:dyDescent="0.35">
      <c r="A24" s="9" t="b">
        <v>1</v>
      </c>
      <c r="B24" t="s">
        <v>337</v>
      </c>
      <c r="C24" t="s">
        <v>520</v>
      </c>
      <c r="D24" t="s">
        <v>338</v>
      </c>
      <c r="E24" t="s">
        <v>339</v>
      </c>
    </row>
    <row r="25" spans="1:5" x14ac:dyDescent="0.35">
      <c r="A25" s="9" t="b">
        <v>1</v>
      </c>
      <c r="B25" t="s">
        <v>337</v>
      </c>
      <c r="C25" t="s">
        <v>519</v>
      </c>
      <c r="D25" t="s">
        <v>522</v>
      </c>
      <c r="E25" t="s">
        <v>523</v>
      </c>
    </row>
    <row r="26" spans="1:5" x14ac:dyDescent="0.35">
      <c r="A26" s="9" t="b">
        <v>1</v>
      </c>
      <c r="B26" t="s">
        <v>537</v>
      </c>
      <c r="C26" t="s">
        <v>539</v>
      </c>
      <c r="D26" t="s">
        <v>538</v>
      </c>
      <c r="E26" t="s">
        <v>540</v>
      </c>
    </row>
    <row r="27" spans="1:5" x14ac:dyDescent="0.35">
      <c r="A27" s="9" t="b">
        <v>1</v>
      </c>
      <c r="B27" t="s">
        <v>315</v>
      </c>
      <c r="C27" t="s">
        <v>316</v>
      </c>
      <c r="D27" t="s">
        <v>317</v>
      </c>
      <c r="E27" t="s">
        <v>318</v>
      </c>
    </row>
    <row r="28" spans="1:5" x14ac:dyDescent="0.35">
      <c r="A28" s="9" t="b">
        <v>1</v>
      </c>
      <c r="B28" t="s">
        <v>323</v>
      </c>
      <c r="C28" t="s">
        <v>324</v>
      </c>
      <c r="D28" t="s">
        <v>325</v>
      </c>
      <c r="E28" t="s">
        <v>326</v>
      </c>
    </row>
    <row r="29" spans="1:5" x14ac:dyDescent="0.35">
      <c r="A29" s="9" t="b">
        <v>1</v>
      </c>
      <c r="B29" t="s">
        <v>750</v>
      </c>
      <c r="D29" t="s">
        <v>749</v>
      </c>
      <c r="E29" t="s">
        <v>751</v>
      </c>
    </row>
    <row r="30" spans="1:5" x14ac:dyDescent="0.35">
      <c r="A30" s="9" t="b">
        <v>0</v>
      </c>
      <c r="B30" t="s">
        <v>753</v>
      </c>
      <c r="C30" t="s">
        <v>754</v>
      </c>
      <c r="D30" t="s">
        <v>752</v>
      </c>
      <c r="E30" t="s">
        <v>758</v>
      </c>
    </row>
    <row r="31" spans="1:5" x14ac:dyDescent="0.35">
      <c r="A31" s="9" t="b">
        <v>0</v>
      </c>
      <c r="B31" t="s">
        <v>756</v>
      </c>
      <c r="C31" t="s">
        <v>754</v>
      </c>
      <c r="D31" t="s">
        <v>755</v>
      </c>
      <c r="E31" t="s">
        <v>757</v>
      </c>
    </row>
    <row r="32" spans="1:5" x14ac:dyDescent="0.35">
      <c r="A32" s="9" t="b">
        <v>0</v>
      </c>
      <c r="B32" t="s">
        <v>761</v>
      </c>
      <c r="C32" t="s">
        <v>219</v>
      </c>
      <c r="D32" t="s">
        <v>759</v>
      </c>
      <c r="E32" t="s">
        <v>760</v>
      </c>
    </row>
    <row r="33" spans="1:5" x14ac:dyDescent="0.35">
      <c r="A33" s="9" t="b">
        <v>1</v>
      </c>
      <c r="B33" t="s">
        <v>563</v>
      </c>
      <c r="C33" t="s">
        <v>763</v>
      </c>
      <c r="D33" t="s">
        <v>762</v>
      </c>
      <c r="E33" t="s">
        <v>764</v>
      </c>
    </row>
    <row r="34" spans="1:5" x14ac:dyDescent="0.35">
      <c r="A34" s="9" t="b">
        <v>0</v>
      </c>
    </row>
    <row r="35" spans="1:5" x14ac:dyDescent="0.35">
      <c r="A35" s="9" t="b">
        <v>0</v>
      </c>
    </row>
    <row r="36" spans="1:5" x14ac:dyDescent="0.35">
      <c r="A36" s="9" t="b">
        <v>0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tabSelected="1" zoomScale="90" workbookViewId="0">
      <selection activeCell="B9" sqref="B9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1</v>
      </c>
      <c r="B8" t="s">
        <v>825</v>
      </c>
      <c r="C8" t="s">
        <v>826</v>
      </c>
      <c r="D8" t="s">
        <v>827</v>
      </c>
      <c r="F8" t="s">
        <v>824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1</v>
      </c>
      <c r="B12" t="s">
        <v>716</v>
      </c>
      <c r="C12" t="s">
        <v>416</v>
      </c>
      <c r="D12" t="s">
        <v>104</v>
      </c>
      <c r="E12" s="3" t="s">
        <v>717</v>
      </c>
      <c r="F12" t="s">
        <v>361</v>
      </c>
      <c r="G12" t="s">
        <v>718</v>
      </c>
      <c r="H12" t="s">
        <v>719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D46" sqref="D4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1</v>
      </c>
      <c r="B37" s="15" t="s">
        <v>781</v>
      </c>
      <c r="C37" s="17">
        <f t="shared" si="1"/>
        <v>887000</v>
      </c>
      <c r="D37" s="16" t="s">
        <v>53</v>
      </c>
      <c r="E37" s="16" t="s">
        <v>8</v>
      </c>
      <c r="F37" s="16" t="s">
        <v>194</v>
      </c>
      <c r="G37" s="16" t="s">
        <v>780</v>
      </c>
      <c r="H37" s="16" t="s">
        <v>782</v>
      </c>
    </row>
    <row r="38" spans="1:8" x14ac:dyDescent="0.35">
      <c r="A38" s="18" t="b">
        <v>1</v>
      </c>
      <c r="B38" s="15" t="s">
        <v>784</v>
      </c>
      <c r="C38" s="17">
        <f t="shared" si="1"/>
        <v>29400</v>
      </c>
      <c r="D38" s="16" t="s">
        <v>53</v>
      </c>
      <c r="E38" s="16" t="s">
        <v>8</v>
      </c>
      <c r="F38" s="16" t="s">
        <v>194</v>
      </c>
      <c r="G38" s="16" t="s">
        <v>783</v>
      </c>
      <c r="H38" s="16" t="s">
        <v>785</v>
      </c>
    </row>
    <row r="39" spans="1:8" x14ac:dyDescent="0.35">
      <c r="A39" s="18" t="b">
        <v>1</v>
      </c>
      <c r="B39" s="15" t="s">
        <v>786</v>
      </c>
      <c r="C39" s="17">
        <f t="shared" si="1"/>
        <v>34000</v>
      </c>
      <c r="D39" s="16" t="s">
        <v>53</v>
      </c>
      <c r="E39" s="16" t="s">
        <v>8</v>
      </c>
      <c r="F39" s="16" t="s">
        <v>194</v>
      </c>
      <c r="G39" s="16" t="s">
        <v>787</v>
      </c>
      <c r="H39" s="16" t="s">
        <v>788</v>
      </c>
    </row>
    <row r="40" spans="1:8" x14ac:dyDescent="0.35">
      <c r="A40" s="18" t="b">
        <v>1</v>
      </c>
      <c r="B40" s="15" t="s">
        <v>789</v>
      </c>
      <c r="C40" s="17">
        <f t="shared" si="1"/>
        <v>24000</v>
      </c>
      <c r="D40" s="16" t="s">
        <v>53</v>
      </c>
      <c r="E40" s="16" t="s">
        <v>8</v>
      </c>
      <c r="F40" s="16" t="s">
        <v>194</v>
      </c>
      <c r="G40" s="16" t="s">
        <v>790</v>
      </c>
      <c r="H40" s="16" t="s">
        <v>791</v>
      </c>
    </row>
    <row r="41" spans="1:8" x14ac:dyDescent="0.35">
      <c r="A41" s="18" t="b">
        <v>1</v>
      </c>
      <c r="B41" s="15" t="s">
        <v>793</v>
      </c>
      <c r="C41" s="17">
        <f t="shared" si="1"/>
        <v>56000</v>
      </c>
      <c r="D41" s="16" t="s">
        <v>53</v>
      </c>
      <c r="E41" s="16" t="s">
        <v>8</v>
      </c>
      <c r="F41" s="16" t="s">
        <v>194</v>
      </c>
      <c r="G41" s="16" t="s">
        <v>792</v>
      </c>
      <c r="H41" s="16" t="s">
        <v>794</v>
      </c>
    </row>
    <row r="42" spans="1:8" x14ac:dyDescent="0.35">
      <c r="A42" s="18" t="b">
        <v>1</v>
      </c>
      <c r="B42" s="15" t="s">
        <v>795</v>
      </c>
      <c r="C42" s="17">
        <f t="shared" si="1"/>
        <v>35700</v>
      </c>
      <c r="D42" s="16" t="s">
        <v>68</v>
      </c>
      <c r="E42" s="16" t="s">
        <v>8</v>
      </c>
      <c r="F42" s="16" t="s">
        <v>194</v>
      </c>
      <c r="G42" s="16" t="s">
        <v>796</v>
      </c>
      <c r="H42" s="16" t="s">
        <v>797</v>
      </c>
    </row>
    <row r="43" spans="1:8" x14ac:dyDescent="0.35">
      <c r="A43" s="18" t="b">
        <v>1</v>
      </c>
      <c r="B43" s="15" t="s">
        <v>798</v>
      </c>
      <c r="C43" s="17">
        <f t="shared" si="1"/>
        <v>499000</v>
      </c>
      <c r="D43" s="16" t="s">
        <v>53</v>
      </c>
      <c r="E43" s="16" t="s">
        <v>8</v>
      </c>
      <c r="F43" s="16" t="s">
        <v>138</v>
      </c>
      <c r="G43" s="16" t="s">
        <v>799</v>
      </c>
      <c r="H43" s="16" t="s">
        <v>800</v>
      </c>
    </row>
    <row r="44" spans="1:8" x14ac:dyDescent="0.35">
      <c r="A44" s="18" t="b">
        <v>1</v>
      </c>
      <c r="B44" s="15" t="s">
        <v>801</v>
      </c>
      <c r="C44" s="17">
        <f t="shared" si="1"/>
        <v>4870</v>
      </c>
      <c r="D44" s="16" t="s">
        <v>53</v>
      </c>
      <c r="E44" s="16" t="s">
        <v>8</v>
      </c>
      <c r="F44" s="16" t="s">
        <v>194</v>
      </c>
      <c r="G44" s="16" t="s">
        <v>802</v>
      </c>
      <c r="H44" s="16" t="s">
        <v>803</v>
      </c>
    </row>
    <row r="45" spans="1:8" x14ac:dyDescent="0.35">
      <c r="A45" s="18" t="b">
        <v>1</v>
      </c>
      <c r="B45" s="15" t="s">
        <v>804</v>
      </c>
      <c r="C45" s="17">
        <f t="shared" si="1"/>
        <v>8250</v>
      </c>
      <c r="D45" s="16" t="s">
        <v>53</v>
      </c>
      <c r="E45" s="16" t="s">
        <v>8</v>
      </c>
      <c r="F45" s="16" t="s">
        <v>194</v>
      </c>
      <c r="G45" s="16" t="s">
        <v>805</v>
      </c>
      <c r="H45" s="16" t="s">
        <v>806</v>
      </c>
    </row>
    <row r="46" spans="1:8" x14ac:dyDescent="0.35">
      <c r="A46" s="18" t="b">
        <v>1</v>
      </c>
      <c r="B46" s="15" t="s">
        <v>808</v>
      </c>
      <c r="C46" s="17">
        <f t="shared" si="1"/>
        <v>681000</v>
      </c>
      <c r="D46" s="16" t="s">
        <v>53</v>
      </c>
      <c r="E46" s="16" t="s">
        <v>8</v>
      </c>
      <c r="F46" s="16" t="s">
        <v>194</v>
      </c>
      <c r="G46" s="16" t="s">
        <v>807</v>
      </c>
      <c r="H46" s="16" t="s">
        <v>809</v>
      </c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737</v>
      </c>
      <c r="E1" s="21" t="s">
        <v>740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 t="s">
        <v>118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 t="s">
        <v>118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 t="s">
        <v>739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 t="s">
        <v>739</v>
      </c>
      <c r="E5" t="s">
        <v>741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1</v>
      </c>
      <c r="B6" t="s">
        <v>297</v>
      </c>
      <c r="C6" t="s">
        <v>735</v>
      </c>
      <c r="D6" s="4" t="s">
        <v>738</v>
      </c>
      <c r="E6" s="4" t="s">
        <v>742</v>
      </c>
      <c r="F6" t="s">
        <v>743</v>
      </c>
      <c r="G6" t="s">
        <v>591</v>
      </c>
      <c r="H6" t="s">
        <v>736</v>
      </c>
      <c r="I6" t="s">
        <v>744</v>
      </c>
    </row>
    <row r="7" spans="1:9" x14ac:dyDescent="0.35">
      <c r="A7" s="9" t="b">
        <v>1</v>
      </c>
      <c r="B7" t="s">
        <v>297</v>
      </c>
      <c r="C7" t="s">
        <v>299</v>
      </c>
      <c r="D7" t="s">
        <v>15</v>
      </c>
      <c r="E7" t="s">
        <v>772</v>
      </c>
      <c r="F7" t="s">
        <v>773</v>
      </c>
      <c r="G7" t="s">
        <v>774</v>
      </c>
      <c r="H7" t="s">
        <v>771</v>
      </c>
      <c r="I7" t="s">
        <v>775</v>
      </c>
    </row>
    <row r="8" spans="1:9" x14ac:dyDescent="0.35">
      <c r="A8" s="9" t="b">
        <v>1</v>
      </c>
      <c r="B8" t="s">
        <v>297</v>
      </c>
      <c r="C8" t="s">
        <v>299</v>
      </c>
      <c r="D8" t="s">
        <v>107</v>
      </c>
      <c r="E8" t="s">
        <v>776</v>
      </c>
      <c r="F8" t="s">
        <v>777</v>
      </c>
      <c r="G8" t="s">
        <v>821</v>
      </c>
      <c r="H8" t="s">
        <v>778</v>
      </c>
      <c r="I8" t="s">
        <v>779</v>
      </c>
    </row>
    <row r="9" spans="1:9" x14ac:dyDescent="0.35">
      <c r="A9" s="9" t="b">
        <v>1</v>
      </c>
      <c r="B9" t="s">
        <v>297</v>
      </c>
      <c r="C9" t="s">
        <v>299</v>
      </c>
      <c r="D9" t="s">
        <v>667</v>
      </c>
      <c r="E9" t="s">
        <v>819</v>
      </c>
      <c r="F9" t="s">
        <v>820</v>
      </c>
      <c r="G9" t="s">
        <v>821</v>
      </c>
      <c r="H9" t="s">
        <v>822</v>
      </c>
      <c r="I9" t="s">
        <v>823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workbookViewId="0">
      <selection activeCell="H20" sqref="H20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193</v>
      </c>
      <c r="H1" t="s">
        <v>3</v>
      </c>
      <c r="I1" t="s">
        <v>2</v>
      </c>
      <c r="J1" t="s">
        <v>32</v>
      </c>
    </row>
    <row r="2" spans="1:10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104</v>
      </c>
      <c r="I2" t="s">
        <v>88</v>
      </c>
      <c r="J2" t="s">
        <v>228</v>
      </c>
    </row>
    <row r="3" spans="1:10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126</v>
      </c>
      <c r="H3" t="s">
        <v>815</v>
      </c>
      <c r="I3" t="s">
        <v>367</v>
      </c>
      <c r="J3" t="s">
        <v>368</v>
      </c>
    </row>
    <row r="4" spans="1:10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104</v>
      </c>
      <c r="I4" t="s">
        <v>374</v>
      </c>
      <c r="J4" t="s">
        <v>375</v>
      </c>
    </row>
    <row r="5" spans="1:10" x14ac:dyDescent="0.35">
      <c r="A5" s="9" t="b">
        <v>1</v>
      </c>
      <c r="B5" t="s">
        <v>85</v>
      </c>
      <c r="C5" t="s">
        <v>364</v>
      </c>
      <c r="D5" t="s">
        <v>624</v>
      </c>
      <c r="E5" t="s">
        <v>605</v>
      </c>
      <c r="F5" t="s">
        <v>625</v>
      </c>
      <c r="G5" t="s">
        <v>104</v>
      </c>
      <c r="I5" t="s">
        <v>626</v>
      </c>
      <c r="J5" t="s">
        <v>627</v>
      </c>
    </row>
    <row r="6" spans="1:10" x14ac:dyDescent="0.35">
      <c r="A6" s="9" t="b">
        <v>1</v>
      </c>
      <c r="B6" t="s">
        <v>85</v>
      </c>
      <c r="C6" t="s">
        <v>364</v>
      </c>
      <c r="D6" t="s">
        <v>553</v>
      </c>
      <c r="E6" t="s">
        <v>87</v>
      </c>
      <c r="F6" t="s">
        <v>730</v>
      </c>
      <c r="G6" t="s">
        <v>104</v>
      </c>
      <c r="I6" t="s">
        <v>731</v>
      </c>
      <c r="J6" t="s">
        <v>732</v>
      </c>
    </row>
    <row r="7" spans="1:10" x14ac:dyDescent="0.35">
      <c r="A7" s="9" t="b">
        <v>1</v>
      </c>
      <c r="B7" t="s">
        <v>85</v>
      </c>
      <c r="C7" t="s">
        <v>364</v>
      </c>
      <c r="D7" t="s">
        <v>553</v>
      </c>
      <c r="E7" t="s">
        <v>87</v>
      </c>
      <c r="F7" t="s">
        <v>313</v>
      </c>
      <c r="G7" t="s">
        <v>104</v>
      </c>
      <c r="I7" t="s">
        <v>733</v>
      </c>
      <c r="J7" t="s">
        <v>734</v>
      </c>
    </row>
    <row r="8" spans="1:10" x14ac:dyDescent="0.35">
      <c r="A8" s="9" t="b">
        <v>1</v>
      </c>
      <c r="B8" t="s">
        <v>144</v>
      </c>
      <c r="C8" t="s">
        <v>225</v>
      </c>
      <c r="D8" t="s">
        <v>229</v>
      </c>
      <c r="E8" t="s">
        <v>147</v>
      </c>
      <c r="F8" t="s">
        <v>145</v>
      </c>
      <c r="G8" t="s">
        <v>104</v>
      </c>
      <c r="H8" t="s">
        <v>816</v>
      </c>
      <c r="I8" t="s">
        <v>146</v>
      </c>
      <c r="J8" t="s">
        <v>148</v>
      </c>
    </row>
    <row r="9" spans="1:10" x14ac:dyDescent="0.35">
      <c r="A9" s="9" t="b">
        <v>1</v>
      </c>
      <c r="B9" t="s">
        <v>144</v>
      </c>
      <c r="C9" t="s">
        <v>225</v>
      </c>
      <c r="D9" t="s">
        <v>556</v>
      </c>
      <c r="E9" t="s">
        <v>553</v>
      </c>
      <c r="F9" t="s">
        <v>393</v>
      </c>
      <c r="G9" t="s">
        <v>104</v>
      </c>
      <c r="I9" t="s">
        <v>554</v>
      </c>
      <c r="J9" t="s">
        <v>555</v>
      </c>
    </row>
    <row r="10" spans="1:10" x14ac:dyDescent="0.35">
      <c r="A10" s="9" t="b">
        <v>1</v>
      </c>
      <c r="B10" t="s">
        <v>144</v>
      </c>
      <c r="C10" t="s">
        <v>225</v>
      </c>
      <c r="D10" t="s">
        <v>658</v>
      </c>
      <c r="E10" t="s">
        <v>605</v>
      </c>
      <c r="F10" t="s">
        <v>120</v>
      </c>
      <c r="G10" t="s">
        <v>104</v>
      </c>
      <c r="I10" t="s">
        <v>659</v>
      </c>
      <c r="J10" t="s">
        <v>660</v>
      </c>
    </row>
    <row r="11" spans="1:10" x14ac:dyDescent="0.35">
      <c r="A11" s="9" t="b">
        <v>1</v>
      </c>
      <c r="B11" t="s">
        <v>144</v>
      </c>
      <c r="C11" t="s">
        <v>225</v>
      </c>
      <c r="D11" t="s">
        <v>812</v>
      </c>
      <c r="E11" t="s">
        <v>813</v>
      </c>
      <c r="F11" t="s">
        <v>811</v>
      </c>
      <c r="G11" t="s">
        <v>104</v>
      </c>
      <c r="H11" t="s">
        <v>816</v>
      </c>
      <c r="I11" t="s">
        <v>810</v>
      </c>
      <c r="J11" t="s">
        <v>814</v>
      </c>
    </row>
    <row r="12" spans="1:10" x14ac:dyDescent="0.35">
      <c r="A12" s="9" t="b">
        <v>0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2026-08-28T19:59:16Z</dcterms:modified>
</cp:coreProperties>
</file>