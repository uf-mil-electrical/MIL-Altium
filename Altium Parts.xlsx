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1B24E037-9FFD-4AB0-8D05-13182DA3B83E}" xr6:coauthVersionLast="47" xr6:coauthVersionMax="47" xr10:uidLastSave="{00000000-0000-0000-0000-000000000000}"/>
  <bookViews>
    <workbookView xWindow="-110" yWindow="-110" windowWidth="25820" windowHeight="15500" firstSheet="8" activeTab="8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5" i="2"/>
  <c r="C26" i="2"/>
  <c r="C2" i="2"/>
  <c r="C20" i="2"/>
  <c r="C9" i="2"/>
  <c r="C12" i="2"/>
  <c r="C23" i="2"/>
  <c r="C17" i="2"/>
  <c r="C15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4" i="2"/>
  <c r="C28" i="2"/>
  <c r="C27" i="2"/>
  <c r="C29" i="2"/>
  <c r="C21" i="2"/>
  <c r="C8" i="2"/>
  <c r="C14" i="2"/>
  <c r="C3" i="2"/>
  <c r="C4" i="2"/>
  <c r="C5" i="2"/>
  <c r="C6" i="2"/>
  <c r="C7" i="2"/>
  <c r="C10" i="2"/>
  <c r="C11" i="2"/>
  <c r="C13" i="2"/>
  <c r="C16" i="2"/>
  <c r="C18" i="2"/>
  <c r="C19" i="2"/>
  <c r="C22" i="2"/>
</calcChain>
</file>

<file path=xl/sharedStrings.xml><?xml version="1.0" encoding="utf-8"?>
<sst xmlns="http://schemas.openxmlformats.org/spreadsheetml/2006/main" count="949" uniqueCount="550">
  <si>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</si>
  <si>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</si>
  <si>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</si>
  <si>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</si>
  <si>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</si>
  <si>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</si>
  <si>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</si>
  <si>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</si>
  <si>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</si>
  <si>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</si>
  <si>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</si>
  <si>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</si>
  <si>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</si>
  <si>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</si>
  <si>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</si>
  <si>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</si>
  <si>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</si>
  <si>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</si>
  <si>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</si>
  <si>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</si>
  <si>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</si>
  <si>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</si>
  <si>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</si>
  <si>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</si>
  <si>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</si>
  <si>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</si>
  <si>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</si>
  <si>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</si>
  <si>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</si>
  <si>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</si>
  <si>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</si>
  <si>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</si>
  <si>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</si>
  <si>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</si>
  <si>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</si>
  <si>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</si>
  <si>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</si>
  <si>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</si>
  <si>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</si>
  <si>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</si>
  <si>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</si>
  <si>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</si>
  <si>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</si>
  <si>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</si>
  <si>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</si>
  <si>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</si>
  <si>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</si>
  <si>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</si>
  <si>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</si>
  <si>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</si>
  <si>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</si>
  <si>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</si>
  <si>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</si>
  <si>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</si>
  <si>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</si>
  <si>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</si>
  <si>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</si>
  <si>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</si>
  <si>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</si>
  <si>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</si>
  <si>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</si>
  <si>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</si>
  <si>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</si>
  <si>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</si>
  <si>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</si>
  <si>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</si>
  <si>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</si>
  <si>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</si>
  <si>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</si>
  <si>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</si>
  <si>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</si>
  <si>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</si>
  <si>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</si>
  <si>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</si>
  <si>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</si>
  <si>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</si>
  <si>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</si>
  <si>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</si>
  <si>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</si>
  <si>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</si>
  <si>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</si>
  <si>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</si>
  <si>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</si>
  <si>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</si>
  <si>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</si>
  <si>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</si>
  <si>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</si>
  <si>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</si>
  <si>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</si>
  <si>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</si>
  <si>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</si>
  <si>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</si>
  <si>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</si>
  <si>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</si>
  <si>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</si>
  <si>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</si>
  <si>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</si>
  <si>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</si>
  <si>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</si>
  <si>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</si>
  <si>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</si>
  <si>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</si>
  <si>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</si>
  <si>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</si>
  <si>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</si>
  <si>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</si>
  <si>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</si>
  <si>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</si>
  <si>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</si>
  <si>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</si>
  <si>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</si>
  <si>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</si>
  <si>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</si>
  <si>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</si>
  <si>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</si>
  <si>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</si>
  <si>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</si>
  <si>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</si>
  <si>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</si>
  <si>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</si>
  <si>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</si>
  <si>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</si>
  <si>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</si>
  <si>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</si>
  <si>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</si>
  <si>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</si>
  <si>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</si>
  <si>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</si>
  <si>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</si>
  <si>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</si>
  <si>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</si>
  <si>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</si>
  <si>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</si>
  <si>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</si>
  <si>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</si>
  <si>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</si>
  <si>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</si>
  <si>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</si>
  <si>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</si>
  <si>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</si>
  <si>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</si>
  <si>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</si>
  <si>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</si>
  <si>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</si>
  <si>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</si>
  <si>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</si>
  <si>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</si>
  <si>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</si>
  <si>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</si>
  <si>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</si>
  <si>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</si>
  <si>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</si>
  <si>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</si>
  <si>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</si>
  <si>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</si>
  <si>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</si>
  <si>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</si>
  <si>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</si>
  <si>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</si>
  <si>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</si>
  <si>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</si>
  <si>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</si>
  <si>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</si>
  <si>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</si>
  <si>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</si>
  <si>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</si>
  <si>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</si>
  <si>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</si>
  <si>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</si>
  <si>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</si>
  <si>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</si>
  <si>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</si>
  <si>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</si>
  <si>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</si>
  <si>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</si>
  <si>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</si>
  <si>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</si>
  <si>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</si>
  <si>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</si>
  <si>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</si>
  <si>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</si>
  <si>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</si>
  <si>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</si>
  <si>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</si>
  <si>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</si>
  <si>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</si>
  <si>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</si>
  <si>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</si>
  <si>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</si>
  <si>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</si>
  <si>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</si>
  <si>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</si>
  <si>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</si>
  <si>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</si>
  <si>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</si>
  <si>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</si>
  <si>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</si>
  <si>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</si>
  <si>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</si>
  <si>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</si>
  <si>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</si>
  <si>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</si>
  <si>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</si>
  <si>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</si>
  <si>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</si>
  <si>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</si>
  <si>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</si>
  <si>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</si>
  <si>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</si>
  <si>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</si>
  <si>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</si>
  <si>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</si>
  <si>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</si>
  <si>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</si>
  <si>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</si>
  <si>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</si>
  <si>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</si>
  <si>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</si>
  <si>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</si>
  <si>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</si>
  <si>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</si>
  <si>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</si>
  <si>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</si>
  <si>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</si>
  <si>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</si>
  <si>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</si>
  <si>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</si>
  <si>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</si>
  <si>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</si>
  <si>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</si>
  <si>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</si>
  <si>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</si>
  <si>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</si>
  <si>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</si>
  <si>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</si>
  <si>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</si>
  <si>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</si>
  <si>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</si>
  <si>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</si>
  <si>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</si>
  <si>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</si>
  <si>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</si>
  <si>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</si>
  <si>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</si>
  <si>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</si>
  <si>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</si>
  <si>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</si>
  <si>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</si>
  <si>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</si>
  <si>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</si>
  <si>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</si>
  <si>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</si>
  <si>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</si>
  <si>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</si>
  <si>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</si>
  <si>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</si>
  <si>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</si>
  <si>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</si>
  <si>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</si>
  <si>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</si>
  <si>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</si>
  <si>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</si>
  <si>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</si>
  <si>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</si>
  <si>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</si>
  <si>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</si>
  <si>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</si>
  <si>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</si>
  <si>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</si>
  <si>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</si>
  <si>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</si>
  <si>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</si>
  <si>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</si>
  <si>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</si>
  <si>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</si>
  <si>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</si>
  <si>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</si>
  <si>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</si>
  <si>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</si>
  <si>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</si>
  <si>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</si>
  <si>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</si>
  <si>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</si>
  <si>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</si>
  <si>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</si>
  <si>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</si>
  <si>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</si>
  <si>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</si>
  <si>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</si>
  <si>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</si>
  <si>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</si>
  <si>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</si>
  <si>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</si>
  <si>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</si>
  <si>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</si>
  <si>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</si>
  <si>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</si>
  <si>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</si>
  <si>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</si>
  <si>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</si>
  <si>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</si>
  <si>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</si>
  <si>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</si>
  <si>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</si>
  <si>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</si>
  <si>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</si>
  <si>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</si>
  <si>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</si>
  <si>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</si>
  <si>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</si>
  <si>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</si>
  <si>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</si>
  <si>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</si>
  <si>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</si>
  <si>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</si>
  <si>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</si>
  <si>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</si>
  <si>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</si>
  <si>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</si>
  <si>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</si>
  <si>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</si>
  <si>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</si>
  <si>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</si>
  <si>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</si>
  <si>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</si>
  <si>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</si>
  <si>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</si>
  <si>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</si>
  <si>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</si>
  <si>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</si>
  <si>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</si>
  <si>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</si>
  <si>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</si>
  <si>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</si>
  <si>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</si>
  <si>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</si>
  <si>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</si>
  <si>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</si>
  <si>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</si>
  <si>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</si>
  <si>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</si>
  <si>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</si>
  <si>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</si>
  <si>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</si>
  <si>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</si>
  <si>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</si>
  <si>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</si>
  <si>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</si>
  <si>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</si>
  <si>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</si>
  <si>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</si>
  <si>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</si>
  <si>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</si>
  <si>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</si>
  <si>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</si>
  <si>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</si>
  <si>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</si>
  <si>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</si>
  <si>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</si>
  <si>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</si>
  <si>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</si>
  <si>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</si>
  <si>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</si>
  <si>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</si>
  <si>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</si>
  <si>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</si>
  <si>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</si>
  <si>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</si>
  <si>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</si>
  <si>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</si>
  <si>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</si>
  <si>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</si>
  <si>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</si>
  <si>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</si>
  <si>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</si>
  <si>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</si>
  <si>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</si>
  <si>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</si>
  <si>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</si>
  <si>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</si>
  <si>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</si>
  <si>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</si>
  <si>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</si>
  <si>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</si>
  <si>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</si>
  <si>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</si>
  <si>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</si>
  <si>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</si>
  <si>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</si>
  <si>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</si>
  <si>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</si>
  <si>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</si>
  <si>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</si>
  <si>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</si>
  <si>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</si>
  <si>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</si>
  <si>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</si>
  <si>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</si>
  <si>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</si>
  <si>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</si>
  <si>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</si>
  <si>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</si>
  <si>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</si>
  <si>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</si>
  <si>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</si>
  <si>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</si>
  <si>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</si>
  <si>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</si>
  <si>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</si>
  <si>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</si>
  <si>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</si>
  <si>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</si>
  <si>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</si>
  <si>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</si>
  <si>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</si>
  <si>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</si>
  <si>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</si>
  <si>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</si>
  <si>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</si>
  <si>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</si>
  <si>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</si>
  <si>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</si>
  <si>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</si>
  <si>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</si>
  <si>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</si>
  <si>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</si>
  <si>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</si>
  <si>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</si>
  <si>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</si>
  <si>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</si>
  <si>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</si>
  <si>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</si>
  <si>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</si>
  <si>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</si>
  <si>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</si>
  <si>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</si>
  <si>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</si>
  <si>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</si>
  <si>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</si>
  <si>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</si>
  <si>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</si>
  <si>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</si>
  <si>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</si>
  <si>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</si>
  <si>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</si>
  <si>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</si>
  <si>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</si>
  <si>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</si>
  <si>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</si>
  <si>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</si>
  <si>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</si>
  <si>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</si>
  <si>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</si>
  <si>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</si>
  <si>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</si>
  <si>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</si>
  <si>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</si>
  <si>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</si>
  <si>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</si>
  <si>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</si>
  <si>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</si>
  <si>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</si>
  <si>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</si>
  <si>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</si>
  <si>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</si>
  <si>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</si>
  <si>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</si>
  <si>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</si>
  <si>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</si>
  <si>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</si>
  <si>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</si>
  <si>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</si>
  <si>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</si>
  <si>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</si>
  <si>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</si>
  <si>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</si>
  <si>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</si>
  <si>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</si>
  <si>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</si>
  <si>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</si>
  <si>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</si>
  <si>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</si>
  <si>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</si>
  <si>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</si>
  <si>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</si>
  <si>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</si>
  <si>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</si>
  <si>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</si>
  <si>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</si>
  <si>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</si>
  <si>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</si>
  <si>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</si>
  <si>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</si>
  <si>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</si>
  <si>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</si>
  <si>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</si>
  <si>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</si>
  <si>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</si>
  <si>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</si>
  <si>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</si>
  <si>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</si>
  <si>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</si>
  <si>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</si>
  <si>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</si>
  <si>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</si>
  <si>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</si>
  <si>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</si>
  <si>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</si>
  <si>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</si>
  <si>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</si>
  <si>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</si>
  <si>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</si>
  <si>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</si>
  <si>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</si>
  <si>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</si>
  <si>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</si>
  <si>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</si>
  <si>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</si>
  <si>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</si>
  <si>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</si>
  <si>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</si>
  <si>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GCM155R71H104KE02J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</si>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</sst>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1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77">
  <autoFilter ref="A1:G20" xr:uid="{AC1B69C7-59BA-492E-BEF3-378F8F5A5F42}"/>
  <tableColumns count="7">
    <tableColumn id="7" xr3:uid="{373BF80E-AE0E-45C8-9A43-A9D96680B6E9}" name="Added to Altium?" dataDxfId="76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0" workbookViewId="0">
      <selection activeCell="D23" sqref="D23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521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522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5" zoomScale="89" zoomScaleNormal="130" workbookViewId="0">
      <selection activeCell="F18" sqref="F18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240</v>
      </c>
      <c r="C3" s="12">
        <v>9</v>
      </c>
      <c r="D3" s="3" t="s">
        <v>157</v>
      </c>
      <c r="E3" s="3" t="s">
        <v>241</v>
      </c>
      <c r="G3" s="3" t="s">
        <v>244</v>
      </c>
      <c r="H3" s="3" t="s">
        <v>242</v>
      </c>
    </row>
    <row r="4" spans="1:8" x14ac:dyDescent="0.35">
      <c r="A4" s="10" t="b">
        <v>1</v>
      </c>
      <c r="B4" s="3" t="s">
        <v>207</v>
      </c>
      <c r="C4" s="12">
        <v>10</v>
      </c>
      <c r="D4" s="3" t="s">
        <v>159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24</v>
      </c>
      <c r="D11" s="3" t="s">
        <v>333</v>
      </c>
    </row>
    <row r="12" spans="1:8" x14ac:dyDescent="0.35">
      <c r="A12" s="10" t="b">
        <v>1</v>
      </c>
      <c r="B12" s="3" t="s">
        <v>207</v>
      </c>
      <c r="C12" s="12">
        <v>26</v>
      </c>
      <c r="D12" s="3" t="s">
        <v>333</v>
      </c>
    </row>
    <row r="13" spans="1:8" x14ac:dyDescent="0.35">
      <c r="A13" s="10" t="b">
        <v>1</v>
      </c>
      <c r="B13" s="3" t="s">
        <v>155</v>
      </c>
      <c r="C13" s="12">
        <v>2</v>
      </c>
      <c r="D13" s="3" t="s">
        <v>334</v>
      </c>
      <c r="E13" s="3" t="s">
        <v>40</v>
      </c>
      <c r="F13" s="3" t="s">
        <v>160</v>
      </c>
      <c r="H13" s="3" t="s">
        <v>41</v>
      </c>
    </row>
    <row r="14" spans="1:8" x14ac:dyDescent="0.35">
      <c r="A14" s="10" t="b">
        <v>1</v>
      </c>
      <c r="B14" s="3" t="s">
        <v>155</v>
      </c>
      <c r="C14" s="12">
        <v>3</v>
      </c>
      <c r="D14" s="3" t="s">
        <v>334</v>
      </c>
      <c r="E14" s="3" t="s">
        <v>39</v>
      </c>
      <c r="F14" s="3" t="s">
        <v>178</v>
      </c>
      <c r="H14" s="3" t="s">
        <v>38</v>
      </c>
    </row>
    <row r="15" spans="1:8" x14ac:dyDescent="0.35">
      <c r="A15" s="10" t="b">
        <v>1</v>
      </c>
      <c r="B15" s="3" t="s">
        <v>155</v>
      </c>
      <c r="C15" s="12">
        <v>4</v>
      </c>
      <c r="D15" s="3" t="s">
        <v>334</v>
      </c>
      <c r="E15" s="3" t="s">
        <v>210</v>
      </c>
      <c r="F15" s="3" t="s">
        <v>209</v>
      </c>
    </row>
    <row r="16" spans="1:8" x14ac:dyDescent="0.35">
      <c r="A16" s="10" t="b">
        <v>1</v>
      </c>
      <c r="B16" s="3" t="s">
        <v>155</v>
      </c>
      <c r="C16" s="12">
        <v>6</v>
      </c>
      <c r="D16" s="3" t="s">
        <v>334</v>
      </c>
      <c r="E16" s="3" t="s">
        <v>42</v>
      </c>
      <c r="H16" s="3" t="s">
        <v>43</v>
      </c>
    </row>
    <row r="17" spans="1:8" x14ac:dyDescent="0.35">
      <c r="A17" s="10" t="b">
        <v>1</v>
      </c>
      <c r="B17" s="3" t="s">
        <v>208</v>
      </c>
      <c r="C17" s="12">
        <v>10</v>
      </c>
      <c r="D17" s="3" t="s">
        <v>334</v>
      </c>
      <c r="E17" s="3" t="s">
        <v>37</v>
      </c>
      <c r="H17" s="3" t="s">
        <v>36</v>
      </c>
    </row>
    <row r="18" spans="1:8" x14ac:dyDescent="0.35">
      <c r="A18" s="10" t="b">
        <v>1</v>
      </c>
      <c r="B18" s="3" t="s">
        <v>208</v>
      </c>
      <c r="C18" s="12">
        <v>16</v>
      </c>
      <c r="D18" s="3" t="s">
        <v>334</v>
      </c>
      <c r="E18" s="3" t="s">
        <v>168</v>
      </c>
      <c r="F18" s="3" t="s">
        <v>168</v>
      </c>
      <c r="H18" s="3" t="s">
        <v>169</v>
      </c>
    </row>
    <row r="19" spans="1:8" x14ac:dyDescent="0.35">
      <c r="A19" s="10" t="b">
        <v>1</v>
      </c>
      <c r="B19" s="3" t="s">
        <v>153</v>
      </c>
      <c r="C19" s="12">
        <v>10</v>
      </c>
      <c r="D19" s="3" t="s">
        <v>334</v>
      </c>
    </row>
    <row r="20" spans="1:8" x14ac:dyDescent="0.35">
      <c r="A20" s="10" t="b">
        <v>1</v>
      </c>
      <c r="B20" s="3" t="s">
        <v>153</v>
      </c>
      <c r="C20" s="12">
        <v>2</v>
      </c>
      <c r="D20" s="3" t="s">
        <v>334</v>
      </c>
      <c r="E20" s="3" t="s">
        <v>151</v>
      </c>
      <c r="H20" s="3" t="s">
        <v>98</v>
      </c>
    </row>
    <row r="21" spans="1:8" x14ac:dyDescent="0.35">
      <c r="A21" s="10" t="b">
        <v>1</v>
      </c>
      <c r="B21" s="3" t="s">
        <v>153</v>
      </c>
      <c r="C21" s="12">
        <v>3</v>
      </c>
      <c r="D21" s="3" t="s">
        <v>334</v>
      </c>
      <c r="E21" s="3" t="s">
        <v>97</v>
      </c>
      <c r="H21" s="3" t="s">
        <v>98</v>
      </c>
    </row>
    <row r="22" spans="1:8" x14ac:dyDescent="0.35">
      <c r="A22" s="10" t="b">
        <v>1</v>
      </c>
      <c r="B22" s="3" t="s">
        <v>153</v>
      </c>
      <c r="C22" s="12">
        <v>4</v>
      </c>
      <c r="D22" s="3" t="s">
        <v>334</v>
      </c>
      <c r="E22" s="3" t="s">
        <v>350</v>
      </c>
      <c r="H22" s="3" t="s">
        <v>351</v>
      </c>
    </row>
    <row r="23" spans="1:8" x14ac:dyDescent="0.35">
      <c r="A23" s="10" t="b">
        <v>1</v>
      </c>
      <c r="B23" s="3" t="s">
        <v>153</v>
      </c>
      <c r="C23" s="12">
        <v>5</v>
      </c>
      <c r="D23" s="3" t="s">
        <v>334</v>
      </c>
      <c r="E23" s="3" t="s">
        <v>348</v>
      </c>
      <c r="H23" s="3" t="s">
        <v>349</v>
      </c>
    </row>
    <row r="24" spans="1:8" x14ac:dyDescent="0.35">
      <c r="A24" s="10" t="b">
        <v>1</v>
      </c>
      <c r="B24" s="3" t="s">
        <v>153</v>
      </c>
      <c r="C24" s="12">
        <v>6</v>
      </c>
      <c r="D24" s="3" t="s">
        <v>334</v>
      </c>
      <c r="E24" s="3" t="s">
        <v>352</v>
      </c>
      <c r="H24" s="3" t="s">
        <v>353</v>
      </c>
    </row>
    <row r="25" spans="1:8" x14ac:dyDescent="0.35">
      <c r="A25" s="10" t="b">
        <v>1</v>
      </c>
      <c r="B25" s="3" t="s">
        <v>153</v>
      </c>
      <c r="C25" s="12">
        <v>10</v>
      </c>
      <c r="D25" s="3" t="s">
        <v>334</v>
      </c>
      <c r="E25" s="3" t="s">
        <v>354</v>
      </c>
      <c r="H25" s="3" t="s">
        <v>355</v>
      </c>
    </row>
    <row r="26" spans="1:8" x14ac:dyDescent="0.35">
      <c r="A26" s="10" t="b">
        <v>1</v>
      </c>
      <c r="B26" s="3" t="s">
        <v>268</v>
      </c>
      <c r="C26" s="12">
        <v>4</v>
      </c>
      <c r="D26" s="3" t="s">
        <v>334</v>
      </c>
      <c r="E26" s="3" t="s">
        <v>269</v>
      </c>
      <c r="G26" s="3" t="s">
        <v>336</v>
      </c>
      <c r="H26" s="3" t="s">
        <v>270</v>
      </c>
    </row>
    <row r="27" spans="1:8" x14ac:dyDescent="0.35">
      <c r="A27" s="10" t="b">
        <v>1</v>
      </c>
      <c r="B27" s="3" t="s">
        <v>154</v>
      </c>
      <c r="C27" s="12"/>
      <c r="D27" s="3" t="s">
        <v>334</v>
      </c>
      <c r="E27" s="3" t="s">
        <v>95</v>
      </c>
      <c r="G27" s="3" t="s">
        <v>245</v>
      </c>
      <c r="H27" s="3" t="s">
        <v>96</v>
      </c>
    </row>
    <row r="28" spans="1:8" x14ac:dyDescent="0.35">
      <c r="A28" s="10" t="b">
        <v>1</v>
      </c>
      <c r="B28" s="3" t="s">
        <v>332</v>
      </c>
      <c r="C28" s="12">
        <v>4</v>
      </c>
      <c r="D28" s="3" t="s">
        <v>334</v>
      </c>
      <c r="E28" s="3" t="s">
        <v>335</v>
      </c>
      <c r="G28" s="3" t="s">
        <v>336</v>
      </c>
      <c r="H28" s="3" t="s">
        <v>337</v>
      </c>
    </row>
    <row r="29" spans="1:8" x14ac:dyDescent="0.35">
      <c r="A29" s="10" t="b">
        <v>1</v>
      </c>
      <c r="B29" s="3" t="s">
        <v>338</v>
      </c>
      <c r="C29" s="12">
        <v>8</v>
      </c>
      <c r="D29" s="3" t="s">
        <v>334</v>
      </c>
      <c r="E29" s="3" t="s">
        <v>404</v>
      </c>
      <c r="G29" s="3" t="s">
        <v>336</v>
      </c>
      <c r="H29" s="3" t="s">
        <v>405</v>
      </c>
    </row>
    <row r="30" spans="1:8" x14ac:dyDescent="0.35">
      <c r="A30" s="10" t="b">
        <v>1</v>
      </c>
      <c r="B30" s="3" t="s">
        <v>398</v>
      </c>
      <c r="C30" s="12">
        <v>2</v>
      </c>
      <c r="D30" s="3" t="s">
        <v>334</v>
      </c>
      <c r="E30" s="3" t="s">
        <v>399</v>
      </c>
      <c r="G30" s="3" t="s">
        <v>401</v>
      </c>
      <c r="H30" s="3" t="s">
        <v>400</v>
      </c>
    </row>
    <row r="31" spans="1:8" x14ac:dyDescent="0.35">
      <c r="A31" s="10" t="b">
        <v>1</v>
      </c>
      <c r="B31" s="3" t="s">
        <v>411</v>
      </c>
      <c r="C31" s="12">
        <v>2</v>
      </c>
      <c r="D31" s="3" t="s">
        <v>334</v>
      </c>
      <c r="E31" s="3" t="s">
        <v>410</v>
      </c>
      <c r="G31" s="3" t="s">
        <v>413</v>
      </c>
      <c r="H31" s="3" t="s">
        <v>412</v>
      </c>
    </row>
    <row r="32" spans="1:8" x14ac:dyDescent="0.35">
      <c r="A32" s="10" t="b">
        <v>1</v>
      </c>
      <c r="B32" s="3" t="s">
        <v>411</v>
      </c>
      <c r="C32" s="12">
        <v>4</v>
      </c>
      <c r="D32" s="3" t="s">
        <v>334</v>
      </c>
      <c r="E32" s="3" t="s">
        <v>420</v>
      </c>
      <c r="G32" s="3" t="s">
        <v>413</v>
      </c>
      <c r="H32" s="3" t="s">
        <v>421</v>
      </c>
    </row>
    <row r="33" spans="1:8" x14ac:dyDescent="0.35">
      <c r="A33" s="10" t="b">
        <v>1</v>
      </c>
      <c r="B33" s="3" t="s">
        <v>208</v>
      </c>
      <c r="C33" s="12">
        <v>16</v>
      </c>
      <c r="D33" s="3" t="s">
        <v>334</v>
      </c>
      <c r="E33" s="3" t="s">
        <v>445</v>
      </c>
    </row>
    <row r="34" spans="1:8" x14ac:dyDescent="0.35">
      <c r="A34" s="10" t="b">
        <v>1</v>
      </c>
      <c r="B34" s="3" t="s">
        <v>446</v>
      </c>
      <c r="C34" s="12">
        <v>12</v>
      </c>
      <c r="D34" s="3" t="s">
        <v>334</v>
      </c>
      <c r="E34" s="3" t="s">
        <v>447</v>
      </c>
      <c r="F34" s="3" t="s">
        <v>452</v>
      </c>
      <c r="G34" s="3" t="s">
        <v>448</v>
      </c>
      <c r="H34" s="3" t="s">
        <v>450</v>
      </c>
    </row>
    <row r="35" spans="1:8" x14ac:dyDescent="0.35">
      <c r="A35" s="10" t="b">
        <v>1</v>
      </c>
      <c r="B35" s="3" t="s">
        <v>446</v>
      </c>
      <c r="C35" s="12">
        <v>12</v>
      </c>
      <c r="D35" s="3" t="s">
        <v>333</v>
      </c>
      <c r="E35" s="3" t="s">
        <v>452</v>
      </c>
      <c r="F35" s="3" t="s">
        <v>447</v>
      </c>
      <c r="G35" s="3" t="s">
        <v>451</v>
      </c>
      <c r="H35" s="3" t="s">
        <v>449</v>
      </c>
    </row>
    <row r="36" spans="1:8" x14ac:dyDescent="0.35">
      <c r="A36" s="10" t="b">
        <v>1</v>
      </c>
      <c r="B36" s="3" t="s">
        <v>446</v>
      </c>
      <c r="C36" s="12">
        <v>20</v>
      </c>
      <c r="D36" s="3" t="s">
        <v>334</v>
      </c>
      <c r="E36" s="3" t="s">
        <v>465</v>
      </c>
      <c r="F36" s="3" t="s">
        <v>464</v>
      </c>
    </row>
    <row r="37" spans="1:8" x14ac:dyDescent="0.35">
      <c r="A37" s="10" t="b">
        <v>1</v>
      </c>
      <c r="B37" s="3" t="s">
        <v>446</v>
      </c>
      <c r="C37" s="12">
        <v>20</v>
      </c>
      <c r="D37" s="3" t="s">
        <v>333</v>
      </c>
      <c r="E37" s="3" t="s">
        <v>464</v>
      </c>
      <c r="F37" s="3" t="s">
        <v>465</v>
      </c>
      <c r="G37" s="3" t="s">
        <v>466</v>
      </c>
    </row>
    <row r="38" spans="1:8" x14ac:dyDescent="0.35">
      <c r="A38" s="10" t="b">
        <v>1</v>
      </c>
      <c r="B38" s="3" t="s">
        <v>446</v>
      </c>
      <c r="C38" s="12">
        <v>30</v>
      </c>
      <c r="D38" s="3" t="s">
        <v>334</v>
      </c>
      <c r="E38" s="3" t="s">
        <v>479</v>
      </c>
      <c r="F38" s="3" t="s">
        <v>480</v>
      </c>
      <c r="H38" s="3" t="s">
        <v>482</v>
      </c>
    </row>
    <row r="39" spans="1:8" x14ac:dyDescent="0.35">
      <c r="A39" s="10" t="b">
        <v>1</v>
      </c>
      <c r="B39" s="3" t="s">
        <v>446</v>
      </c>
      <c r="C39" s="12">
        <v>30</v>
      </c>
      <c r="D39" s="3" t="s">
        <v>333</v>
      </c>
      <c r="E39" s="3" t="s">
        <v>480</v>
      </c>
      <c r="F39" s="3" t="s">
        <v>479</v>
      </c>
      <c r="G39" s="3" t="s">
        <v>466</v>
      </c>
      <c r="H39" s="3" t="s">
        <v>481</v>
      </c>
    </row>
    <row r="40" spans="1:8" x14ac:dyDescent="0.35">
      <c r="A40" s="10" t="b">
        <v>1</v>
      </c>
      <c r="B40" s="3" t="s">
        <v>483</v>
      </c>
      <c r="C40" s="12">
        <v>5</v>
      </c>
      <c r="D40" s="3" t="s">
        <v>334</v>
      </c>
      <c r="E40" s="3" t="s">
        <v>484</v>
      </c>
      <c r="H40" s="3" t="s">
        <v>485</v>
      </c>
    </row>
    <row r="41" spans="1:8" x14ac:dyDescent="0.35">
      <c r="A41" s="10" t="b">
        <v>1</v>
      </c>
      <c r="B41" s="3" t="s">
        <v>499</v>
      </c>
      <c r="C41" s="12">
        <v>1</v>
      </c>
      <c r="D41" s="3" t="s">
        <v>205</v>
      </c>
      <c r="E41" s="3" t="s">
        <v>500</v>
      </c>
      <c r="H41" s="3" t="s">
        <v>501</v>
      </c>
    </row>
    <row r="42" spans="1:8" x14ac:dyDescent="0.35">
      <c r="A42" s="10" t="b">
        <v>1</v>
      </c>
      <c r="B42" s="3" t="s">
        <v>499</v>
      </c>
      <c r="C42" s="12">
        <v>1</v>
      </c>
      <c r="D42" s="3" t="s">
        <v>205</v>
      </c>
      <c r="E42" s="3" t="s">
        <v>502</v>
      </c>
      <c r="H42" s="3" t="s">
        <v>503</v>
      </c>
    </row>
    <row r="43" spans="1:8" x14ac:dyDescent="0.35">
      <c r="A43" s="10" t="b">
        <v>1</v>
      </c>
      <c r="B43" s="3" t="s">
        <v>515</v>
      </c>
      <c r="C43" s="12">
        <v>3</v>
      </c>
      <c r="D43" s="3" t="s">
        <v>334</v>
      </c>
      <c r="E43" s="3" t="s">
        <v>516</v>
      </c>
      <c r="G43" s="3" t="s">
        <v>518</v>
      </c>
      <c r="H43" s="3" t="s">
        <v>517</v>
      </c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528</v>
      </c>
      <c r="C6" t="s">
        <v>529</v>
      </c>
      <c r="D6" t="s">
        <v>530</v>
      </c>
      <c r="E6" t="s">
        <v>175</v>
      </c>
      <c r="F6" t="s">
        <v>531</v>
      </c>
      <c r="G6" t="s">
        <v>532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15" sqref="A15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525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524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523</v>
      </c>
      <c r="D13" t="s">
        <v>526</v>
      </c>
      <c r="E13" t="s">
        <v>527</v>
      </c>
    </row>
    <row r="14" spans="1:5" x14ac:dyDescent="0.35">
      <c r="A14" s="9" t="b">
        <v>1</v>
      </c>
      <c r="B14" t="s">
        <v>542</v>
      </c>
      <c r="C14" t="s">
        <v>544</v>
      </c>
      <c r="D14" t="s">
        <v>543</v>
      </c>
      <c r="E14" t="s">
        <v>545</v>
      </c>
    </row>
    <row r="15" spans="1:5" x14ac:dyDescent="0.35">
      <c r="A15" s="9" t="b">
        <v>1</v>
      </c>
      <c r="B15" t="s">
        <v>546</v>
      </c>
      <c r="C15" t="s">
        <v>547</v>
      </c>
      <c r="D15" t="s">
        <v>548</v>
      </c>
      <c r="E15" t="s">
        <v>549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zoomScale="118" workbookViewId="0">
      <selection activeCell="C31" sqref="C31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>IF(ISNUMBER(B3),
IF(B3=0,"",B3),
VALUE(LEFT(B3,LEN(B3)-1))*
IF(RIGHT(B3,1)="k",1000,
IF(RIGHT(B3,1)="M",1000000,
IF(RIGHT(B3,1)="m",0.001,1))))</f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>IF(ISNUMBER(B4),
IF(B4=0,"",B4),
VALUE(LEFT(B4,LEN(B4)-1))*
IF(RIGHT(B4,1)="k",1000,
IF(RIGHT(B4,1)="M",1000000,
IF(RIGHT(B4,1)="m",0.001,1))))</f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>IF(ISNUMBER(B5),
IF(B5=0,"",B5),
VALUE(LEFT(B5,LEN(B5)-1))*
IF(RIGHT(B5,1)="k",1000,
IF(RIGHT(B5,1)="M",1000000,
IF(RIGHT(B5,1)="m",0.001,1))))</f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220</v>
      </c>
      <c r="C6" s="17">
        <f>IF(ISNUMBER(B6),
IF(B6=0,"",B6),
VALUE(LEFT(B6,LEN(B6)-1))*
IF(RIGHT(B6,1)="k",1000,
IF(RIGHT(B6,1)="M",1000000,
IF(RIGHT(B6,1)="m",0.001,1))))</f>
        <v>220</v>
      </c>
      <c r="D6" s="16" t="s">
        <v>53</v>
      </c>
      <c r="E6" s="16" t="s">
        <v>8</v>
      </c>
      <c r="F6" s="16" t="s">
        <v>196</v>
      </c>
      <c r="G6" s="16" t="s">
        <v>62</v>
      </c>
      <c r="H6" s="16" t="s">
        <v>61</v>
      </c>
    </row>
    <row r="7" spans="1:8" x14ac:dyDescent="0.35">
      <c r="A7" s="18" t="b">
        <v>1</v>
      </c>
      <c r="B7" s="15">
        <v>220</v>
      </c>
      <c r="C7" s="17">
        <f>IF(ISNUMBER(B7),
IF(B7=0,"",B7),
VALUE(LEFT(B7,LEN(B7)-1))*
IF(RIGHT(B7,1)="k",1000,
IF(RIGHT(B7,1)="M",1000000,
IF(RIGHT(B7,1)="m",0.001,1))))</f>
        <v>220</v>
      </c>
      <c r="D7" s="16" t="s">
        <v>53</v>
      </c>
      <c r="E7" s="16" t="s">
        <v>24</v>
      </c>
      <c r="F7" s="16" t="s">
        <v>140</v>
      </c>
      <c r="G7" s="16" t="s">
        <v>167</v>
      </c>
      <c r="H7" s="16" t="s">
        <v>166</v>
      </c>
    </row>
    <row r="8" spans="1:8" x14ac:dyDescent="0.35">
      <c r="A8" s="18" t="b">
        <v>1</v>
      </c>
      <c r="B8" s="15">
        <v>220</v>
      </c>
      <c r="C8" s="17">
        <f>IF(ISNUMBER(B8),
IF(B8=0,"",B8),
VALUE(LEFT(B8,LEN(B8)-1))*
IF(RIGHT(B8,1)="k",1000,
IF(RIGHT(B8,1)="M",1000000,
IF(RIGHT(B8,1)="m",0.001,1))))</f>
        <v>220</v>
      </c>
      <c r="D8" s="16" t="s">
        <v>139</v>
      </c>
      <c r="E8" s="16" t="s">
        <v>128</v>
      </c>
      <c r="F8" s="16" t="s">
        <v>264</v>
      </c>
      <c r="G8" s="16" t="s">
        <v>358</v>
      </c>
      <c r="H8" s="16" t="s">
        <v>359</v>
      </c>
    </row>
    <row r="9" spans="1:8" x14ac:dyDescent="0.35">
      <c r="A9" s="18" t="b">
        <v>1</v>
      </c>
      <c r="B9" s="15">
        <v>680</v>
      </c>
      <c r="C9" s="17">
        <f>IF(ISNUMBER(B9),
IF(B9=0,"",B9),
VALUE(LEFT(B9,LEN(B9)-1))*
IF(RIGHT(B9,1)="k",1000,
IF(RIGHT(B9,1)="M",1000000,
IF(RIGHT(B9,1)="m",0.001,1))))</f>
        <v>680</v>
      </c>
      <c r="D9" s="16" t="s">
        <v>53</v>
      </c>
      <c r="E9" s="16" t="s">
        <v>8</v>
      </c>
      <c r="F9" s="16" t="s">
        <v>140</v>
      </c>
      <c r="G9" s="16" t="s">
        <v>443</v>
      </c>
      <c r="H9" s="16" t="s">
        <v>444</v>
      </c>
    </row>
    <row r="10" spans="1:8" x14ac:dyDescent="0.35">
      <c r="A10" s="18" t="b">
        <v>1</v>
      </c>
      <c r="B10" s="15" t="s">
        <v>60</v>
      </c>
      <c r="C10" s="17">
        <f>IF(ISNUMBER(B10),
IF(B10=0,"",B10),
VALUE(LEFT(B10,LEN(B10)-1))*
IF(RIGHT(B10,1)="k",1000,
IF(RIGHT(B10,1)="M",1000000,
IF(RIGHT(B10,1)="m",0.001,1))))</f>
        <v>1000</v>
      </c>
      <c r="D10" s="16" t="s">
        <v>53</v>
      </c>
      <c r="E10" s="16" t="s">
        <v>8</v>
      </c>
      <c r="F10" s="16" t="s">
        <v>196</v>
      </c>
      <c r="G10" s="16" t="s">
        <v>58</v>
      </c>
      <c r="H10" s="16" t="s">
        <v>59</v>
      </c>
    </row>
    <row r="11" spans="1:8" x14ac:dyDescent="0.35">
      <c r="A11" s="18" t="b">
        <v>1</v>
      </c>
      <c r="B11" s="15" t="s">
        <v>60</v>
      </c>
      <c r="C11" s="17">
        <f>IF(ISNUMBER(B11),
IF(B11=0,"",B11),
VALUE(LEFT(B11,LEN(B11)-1))*
IF(RIGHT(B11,1)="k",1000,
IF(RIGHT(B11,1)="M",1000000,
IF(RIGHT(B11,1)="m",0.001,1))))</f>
        <v>1000</v>
      </c>
      <c r="D11" s="16" t="s">
        <v>65</v>
      </c>
      <c r="E11" s="16" t="s">
        <v>24</v>
      </c>
      <c r="F11" s="16" t="s">
        <v>196</v>
      </c>
      <c r="G11" s="16" t="s">
        <v>133</v>
      </c>
      <c r="H11" s="16" t="s">
        <v>134</v>
      </c>
    </row>
    <row r="12" spans="1:8" x14ac:dyDescent="0.35">
      <c r="A12" s="18" t="b">
        <v>1</v>
      </c>
      <c r="B12" s="15" t="s">
        <v>461</v>
      </c>
      <c r="C12" s="17">
        <f>IF(ISNUMBER(B12),
IF(B12=0,"",B12),
VALUE(LEFT(B12,LEN(B12)-1))*
IF(RIGHT(B12,1)="k",1000,
IF(RIGHT(B12,1)="M",1000000,
IF(RIGHT(B12,1)="m",0.001,1))))</f>
        <v>1500</v>
      </c>
      <c r="D12" s="16" t="s">
        <v>53</v>
      </c>
      <c r="E12" s="16" t="s">
        <v>8</v>
      </c>
      <c r="F12" s="16" t="s">
        <v>196</v>
      </c>
      <c r="G12" s="16" t="s">
        <v>462</v>
      </c>
      <c r="H12" s="16" t="s">
        <v>463</v>
      </c>
    </row>
    <row r="13" spans="1:8" x14ac:dyDescent="0.35">
      <c r="A13" s="18" t="b">
        <v>1</v>
      </c>
      <c r="B13" s="15" t="s">
        <v>69</v>
      </c>
      <c r="C13" s="17">
        <f>IF(ISNUMBER(B13),
IF(B13=0,"",B13),
VALUE(LEFT(B13,LEN(B13)-1))*
IF(RIGHT(B13,1)="k",1000,
IF(RIGHT(B13,1)="M",1000000,
IF(RIGHT(B13,1)="m",0.001,1))))</f>
        <v>2000</v>
      </c>
      <c r="D13" s="16" t="s">
        <v>70</v>
      </c>
      <c r="E13" s="16" t="s">
        <v>8</v>
      </c>
      <c r="F13" s="16" t="s">
        <v>196</v>
      </c>
      <c r="G13" s="16" t="s">
        <v>67</v>
      </c>
      <c r="H13" s="16" t="s">
        <v>68</v>
      </c>
    </row>
    <row r="14" spans="1:8" x14ac:dyDescent="0.35">
      <c r="A14" s="18" t="b">
        <v>1</v>
      </c>
      <c r="B14" s="15" t="s">
        <v>371</v>
      </c>
      <c r="C14" s="17">
        <f>IF(ISNUMBER(B14),
IF(B14=0,"",B14),
VALUE(LEFT(B14,LEN(B14)-1))*
IF(RIGHT(B14,1)="k",1000,
IF(RIGHT(B14,1)="M",1000000,
IF(RIGHT(B14,1)="m",0.001,1))))</f>
        <v>3300</v>
      </c>
      <c r="D14" s="16" t="s">
        <v>53</v>
      </c>
      <c r="E14" s="16" t="s">
        <v>8</v>
      </c>
      <c r="F14" s="16" t="s">
        <v>196</v>
      </c>
      <c r="G14" s="16" t="s">
        <v>372</v>
      </c>
      <c r="H14" s="16" t="s">
        <v>373</v>
      </c>
    </row>
    <row r="15" spans="1:8" x14ac:dyDescent="0.35">
      <c r="A15" s="18" t="b">
        <v>1</v>
      </c>
      <c r="B15" s="15" t="s">
        <v>539</v>
      </c>
      <c r="C15" s="17">
        <f>IF(ISNUMBER(B15),
IF(B15=0,"",B15),
VALUE(LEFT(B15,LEN(B15)-1))*
IF(RIGHT(B15,1)="k",1000,
IF(RIGHT(B15,1)="M",1000000,
IF(RIGHT(B15,1)="m",0.001,1))))</f>
        <v>3480</v>
      </c>
      <c r="D15" s="16" t="s">
        <v>53</v>
      </c>
      <c r="E15" s="16" t="s">
        <v>8</v>
      </c>
      <c r="F15" s="16" t="s">
        <v>196</v>
      </c>
      <c r="G15" s="16" t="s">
        <v>540</v>
      </c>
      <c r="H15" s="16" t="s">
        <v>541</v>
      </c>
    </row>
    <row r="16" spans="1:8" x14ac:dyDescent="0.35">
      <c r="A16" s="18" t="b">
        <v>1</v>
      </c>
      <c r="B16" s="15" t="s">
        <v>52</v>
      </c>
      <c r="C16" s="17">
        <f>IF(ISNUMBER(B16),
IF(B16=0,"",B16),
VALUE(LEFT(B16,LEN(B16)-1))*
IF(RIGHT(B16,1)="k",1000,
IF(RIGHT(B16,1)="M",1000000,
IF(RIGHT(B16,1)="m",0.001,1))))</f>
        <v>5100</v>
      </c>
      <c r="D16" s="16" t="s">
        <v>53</v>
      </c>
      <c r="E16" s="16" t="s">
        <v>8</v>
      </c>
      <c r="F16" s="16" t="s">
        <v>196</v>
      </c>
      <c r="G16" s="16" t="s">
        <v>54</v>
      </c>
      <c r="H16" s="16" t="s">
        <v>55</v>
      </c>
    </row>
    <row r="17" spans="1:8" x14ac:dyDescent="0.35">
      <c r="A17" s="18" t="b">
        <v>1</v>
      </c>
      <c r="B17" s="15" t="s">
        <v>536</v>
      </c>
      <c r="C17" s="17">
        <f>IF(ISNUMBER(B17),
IF(B17=0,"",B17),
VALUE(LEFT(B17,LEN(B17)-1))*
IF(RIGHT(B17,1)="k",1000,
IF(RIGHT(B17,1)="M",1000000,
IF(RIGHT(B17,1)="m",0.001,1))))</f>
        <v>9090</v>
      </c>
      <c r="D17" s="16" t="s">
        <v>53</v>
      </c>
      <c r="E17" s="16" t="s">
        <v>8</v>
      </c>
      <c r="F17" s="16" t="s">
        <v>196</v>
      </c>
      <c r="G17" s="16" t="s">
        <v>537</v>
      </c>
      <c r="H17" s="16" t="s">
        <v>538</v>
      </c>
    </row>
    <row r="18" spans="1:8" x14ac:dyDescent="0.35">
      <c r="A18" s="18" t="b">
        <v>1</v>
      </c>
      <c r="B18" s="15" t="s">
        <v>138</v>
      </c>
      <c r="C18" s="17">
        <f>IF(ISNUMBER(B18),
IF(B18=0,"",B18),
VALUE(LEFT(B18,LEN(B18)-1))*
IF(RIGHT(B18,1)="k",1000,
IF(RIGHT(B18,1)="M",1000000,
IF(RIGHT(B18,1)="m",0.001,1))))</f>
        <v>10000</v>
      </c>
      <c r="D18" s="16" t="s">
        <v>139</v>
      </c>
      <c r="E18" s="16" t="s">
        <v>24</v>
      </c>
      <c r="F18" s="16" t="s">
        <v>140</v>
      </c>
      <c r="G18" s="16" t="s">
        <v>141</v>
      </c>
      <c r="H18" s="16" t="s">
        <v>142</v>
      </c>
    </row>
    <row r="19" spans="1:8" x14ac:dyDescent="0.35">
      <c r="A19" s="18" t="b">
        <v>1</v>
      </c>
      <c r="B19" s="15" t="s">
        <v>138</v>
      </c>
      <c r="C19" s="17">
        <f>IF(ISNUMBER(B19),
IF(B19=0,"",B19),
VALUE(LEFT(B19,LEN(B19)-1))*
IF(RIGHT(B19,1)="k",1000,
IF(RIGHT(B19,1)="M",1000000,
IF(RIGHT(B19,1)="m",0.001,1))))</f>
        <v>10000</v>
      </c>
      <c r="D19" s="16" t="s">
        <v>53</v>
      </c>
      <c r="E19" s="16" t="s">
        <v>8</v>
      </c>
      <c r="F19" s="16" t="s">
        <v>196</v>
      </c>
      <c r="G19" s="16" t="s">
        <v>391</v>
      </c>
      <c r="H19" s="16" t="s">
        <v>392</v>
      </c>
    </row>
    <row r="20" spans="1:8" x14ac:dyDescent="0.35">
      <c r="A20" s="18" t="b">
        <v>1</v>
      </c>
      <c r="B20" s="15" t="s">
        <v>440</v>
      </c>
      <c r="C20" s="17">
        <f>IF(ISNUMBER(B20),
IF(B20=0,"",B20),
VALUE(LEFT(B20,LEN(B20)-1))*
IF(RIGHT(B20,1)="k",1000,
IF(RIGHT(B20,1)="M",1000000,
IF(RIGHT(B20,1)="m",0.001,1))))</f>
        <v>15000</v>
      </c>
      <c r="D20" s="16" t="s">
        <v>53</v>
      </c>
      <c r="E20" s="16" t="s">
        <v>8</v>
      </c>
      <c r="F20" s="16" t="s">
        <v>140</v>
      </c>
      <c r="G20" s="16" t="s">
        <v>441</v>
      </c>
      <c r="H20" s="16" t="s">
        <v>442</v>
      </c>
    </row>
    <row r="21" spans="1:8" x14ac:dyDescent="0.35">
      <c r="A21" s="18" t="b">
        <v>1</v>
      </c>
      <c r="B21" s="15" t="s">
        <v>329</v>
      </c>
      <c r="C21" s="17">
        <f>IF(ISNUMBER(B21),
IF(B21=0,"",B21),
VALUE(LEFT(B21,LEN(B21)-1))*
IF(RIGHT(B21,1)="k",1000,
IF(RIGHT(B21,1)="M",1000000,
IF(RIGHT(B21,1)="m",0.001,1))))</f>
        <v>47000</v>
      </c>
      <c r="D21" s="16" t="s">
        <v>53</v>
      </c>
      <c r="E21" s="16" t="s">
        <v>8</v>
      </c>
      <c r="F21" s="16" t="s">
        <v>196</v>
      </c>
      <c r="G21" s="16" t="s">
        <v>330</v>
      </c>
      <c r="H21" s="16" t="s">
        <v>331</v>
      </c>
    </row>
    <row r="22" spans="1:8" x14ac:dyDescent="0.35">
      <c r="A22" s="18" t="b">
        <v>1</v>
      </c>
      <c r="B22" s="15" t="s">
        <v>143</v>
      </c>
      <c r="C22" s="17">
        <f>IF(ISNUMBER(B22),
IF(B22=0,"",B22),
VALUE(LEFT(B22,LEN(B22)-1))*
IF(RIGHT(B22,1)="k",1000,
IF(RIGHT(B22,1)="M",1000000,
IF(RIGHT(B22,1)="m",0.001,1))))</f>
        <v>52300</v>
      </c>
      <c r="D22" s="16" t="s">
        <v>53</v>
      </c>
      <c r="E22" s="16" t="s">
        <v>24</v>
      </c>
      <c r="F22" s="16" t="s">
        <v>140</v>
      </c>
      <c r="G22" s="16" t="s">
        <v>144</v>
      </c>
      <c r="H22" s="16" t="s">
        <v>145</v>
      </c>
    </row>
    <row r="23" spans="1:8" x14ac:dyDescent="0.35">
      <c r="A23" s="18" t="b">
        <v>1</v>
      </c>
      <c r="B23" s="15" t="s">
        <v>533</v>
      </c>
      <c r="C23" s="17">
        <f>IF(ISNUMBER(B23),
IF(B23=0,"",B23),
VALUE(LEFT(B23,LEN(B23)-1))*
IF(RIGHT(B23,1)="k",1000,
IF(RIGHT(B23,1)="M",1000000,
IF(RIGHT(B23,1)="m",0.001,1))))</f>
        <v>90900</v>
      </c>
      <c r="D23" s="16" t="s">
        <v>53</v>
      </c>
      <c r="E23" s="16" t="s">
        <v>8</v>
      </c>
      <c r="F23" s="16" t="s">
        <v>196</v>
      </c>
      <c r="G23" s="16" t="s">
        <v>534</v>
      </c>
      <c r="H23" s="16" t="s">
        <v>535</v>
      </c>
    </row>
    <row r="24" spans="1:8" x14ac:dyDescent="0.35">
      <c r="A24" s="18" t="b">
        <v>1</v>
      </c>
      <c r="B24" s="15" t="s">
        <v>267</v>
      </c>
      <c r="C24" s="17">
        <f>IF(ISNUMBER(B24),
IF(B24=0,"",B24),
VALUE(LEFT(B24,LEN(B24)-1))*
IF(RIGHT(B24,1)="k",1000,
IF(RIGHT(B24,1)="M",1000000,
IF(RIGHT(B24,1)="m",0.001,1))))</f>
        <v>100000</v>
      </c>
      <c r="D24" s="16" t="s">
        <v>53</v>
      </c>
      <c r="E24" s="16" t="s">
        <v>128</v>
      </c>
      <c r="F24" s="16" t="s">
        <v>264</v>
      </c>
      <c r="G24" s="16" t="s">
        <v>265</v>
      </c>
      <c r="H24" s="16" t="s">
        <v>266</v>
      </c>
    </row>
    <row r="25" spans="1:8" x14ac:dyDescent="0.35">
      <c r="A25" s="18" t="b">
        <v>1</v>
      </c>
      <c r="B25" s="15" t="s">
        <v>385</v>
      </c>
      <c r="C25" s="17">
        <f>IF(ISNUMBER(B25),
IF(B25=0,"",B25),
VALUE(LEFT(B25,LEN(B25)-1))*
IF(RIGHT(B25,1)="k",1000,
IF(RIGHT(B25,1)="M",1000000,
IF(RIGHT(B25,1)="m",0.001,1))))</f>
        <v>200000</v>
      </c>
      <c r="D25" s="16" t="s">
        <v>139</v>
      </c>
      <c r="E25" s="16" t="s">
        <v>8</v>
      </c>
      <c r="F25" s="16" t="s">
        <v>196</v>
      </c>
      <c r="G25" s="16" t="s">
        <v>386</v>
      </c>
      <c r="H25" s="16" t="s">
        <v>387</v>
      </c>
    </row>
    <row r="26" spans="1:8" x14ac:dyDescent="0.35">
      <c r="A26" s="18" t="b">
        <v>1</v>
      </c>
      <c r="B26" s="15" t="s">
        <v>388</v>
      </c>
      <c r="C26" s="17">
        <f>IF(ISNUMBER(B26),
IF(B26=0,"",B26),
VALUE(LEFT(B26,LEN(B26)-1))*
IF(RIGHT(B26,1)="k",1000,
IF(RIGHT(B26,1)="M",1000000,
IF(RIGHT(B26,1)="m",0.001,1))))</f>
        <v>300000</v>
      </c>
      <c r="D26" s="16" t="s">
        <v>53</v>
      </c>
      <c r="E26" s="16" t="s">
        <v>8</v>
      </c>
      <c r="F26" s="16" t="s">
        <v>140</v>
      </c>
      <c r="G26" s="16" t="s">
        <v>389</v>
      </c>
      <c r="H26" s="16" t="s">
        <v>390</v>
      </c>
    </row>
    <row r="27" spans="1:8" x14ac:dyDescent="0.35">
      <c r="A27" s="18" t="b">
        <v>1</v>
      </c>
      <c r="B27" s="15" t="s">
        <v>291</v>
      </c>
      <c r="C27" s="17">
        <f>IF(ISNUMBER(B27),
IF(B27=0,"",B27),
VALUE(LEFT(B27,LEN(B27)-1))*
IF(RIGHT(B27,1)="k",1000,
IF(RIGHT(B27,1)="M",1000000,
IF(RIGHT(B27,1)="m",0.001,1))))</f>
        <v>680000</v>
      </c>
      <c r="D27" s="16" t="s">
        <v>139</v>
      </c>
      <c r="E27" s="16" t="s">
        <v>128</v>
      </c>
      <c r="F27" s="16" t="s">
        <v>289</v>
      </c>
      <c r="G27" s="16" t="s">
        <v>292</v>
      </c>
      <c r="H27" s="16" t="s">
        <v>294</v>
      </c>
    </row>
    <row r="28" spans="1:8" x14ac:dyDescent="0.35">
      <c r="A28" s="18" t="b">
        <v>1</v>
      </c>
      <c r="B28" s="15" t="s">
        <v>288</v>
      </c>
      <c r="C28" s="17">
        <f>IF(ISNUMBER(B28),
IF(B28=0,"",B28),
VALUE(LEFT(B28,LEN(B28)-1))*
IF(RIGHT(B28,1)="k",1000,
IF(RIGHT(B28,1)="M",1000000,
IF(RIGHT(B28,1)="m",0.001,1))))</f>
        <v>1000000</v>
      </c>
      <c r="D28" s="16" t="s">
        <v>139</v>
      </c>
      <c r="E28" s="16" t="s">
        <v>128</v>
      </c>
      <c r="F28" s="16" t="s">
        <v>289</v>
      </c>
      <c r="G28" s="16" t="s">
        <v>290</v>
      </c>
      <c r="H28" s="16" t="s">
        <v>293</v>
      </c>
    </row>
    <row r="29" spans="1:8" x14ac:dyDescent="0.35">
      <c r="A29" s="18" t="b">
        <v>1</v>
      </c>
      <c r="B29" s="15" t="s">
        <v>288</v>
      </c>
      <c r="C29" s="17">
        <f>IF(ISNUMBER(B29),
IF(B29=0,"",B29),
VALUE(LEFT(B29,LEN(B29)-1))*
IF(RIGHT(B29,1)="k",1000,
IF(RIGHT(B29,1)="M",1000000,
IF(RIGHT(B29,1)="m",0.001,1))))</f>
        <v>1000000</v>
      </c>
      <c r="D29" s="16" t="s">
        <v>53</v>
      </c>
      <c r="E29" s="16" t="s">
        <v>8</v>
      </c>
      <c r="F29" s="16" t="s">
        <v>196</v>
      </c>
      <c r="G29" s="16" t="s">
        <v>323</v>
      </c>
      <c r="H29" s="16" t="s">
        <v>324</v>
      </c>
    </row>
    <row r="30" spans="1:8" x14ac:dyDescent="0.35">
      <c r="A30" s="18" t="b">
        <v>0</v>
      </c>
      <c r="B30" s="15">
        <v>0</v>
      </c>
      <c r="C30" s="17" t="str">
        <f>IF(ISNUMBER(B30),
IF(B30=0,"",B30),
VALUE(LEFT(B30,LEN(B30)-1))*
IF(RIGHT(B30,1)="k",1000,
IF(RIGHT(B30,1)="M",1000000,
IF(RIGHT(B30,1)="m",0.001,1))))</f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>IF(ISNUMBER(B31),
IF(B31=0,"",B31),
VALUE(LEFT(B31,LEN(B31)-1))*
IF(RIGHT(B31,1)="k",1000,
IF(RIGHT(B31,1)="M",1000000,
IF(RIGHT(B31,1)="m",0.001,1))))</f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>IF(ISNUMBER(B32),
IF(B32=0,"",B32),
VALUE(LEFT(B32,LEN(B32)-1))*
IF(RIGHT(B32,1)="k",1000,
IF(RIGHT(B32,1)="M",1000000,
IF(RIGHT(B32,1)="m",0.001,1))))</f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>IF(ISNUMBER(B33),
IF(B33=0,"",B33),
VALUE(LEFT(B33,LEN(B33)-1))*
IF(RIGHT(B33,1)="k",1000,
IF(RIGHT(B33,1)="M",1000000,
IF(RIGHT(B33,1)="m",0.001,1))))</f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>IF(ISNUMBER(B35),
IF(B35=0,"",B35),
VALUE(LEFT(B35,LEN(B35)-1))*
IF(RIGHT(B35,1)="k",1000,
IF(RIGHT(B35,1)="M",1000000,
IF(RIGHT(B35,1)="m",0.001,1))))</f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>IF(ISNUMBER(B36),
IF(B36=0,"",B36),
VALUE(LEFT(B36,LEN(B36)-1))*
IF(RIGHT(B36,1)="k",1000,
IF(RIGHT(B36,1)="M",1000000,
IF(RIGHT(B36,1)="m",0.001,1))))</f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>IF(ISNUMBER(B37),
IF(B37=0,"",B37),
VALUE(LEFT(B37,LEN(B37)-1))*
IF(RIGHT(B37,1)="k",1000,
IF(RIGHT(B37,1)="M",1000000,
IF(RIGHT(B37,1)="m",0.001,1))))</f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>IF(ISNUMBER(B38),
IF(B38=0,"",B38),
VALUE(LEFT(B38,LEN(B38)-1))*
IF(RIGHT(B38,1)="k",1000,
IF(RIGHT(B38,1)="M",1000000,
IF(RIGHT(B38,1)="m",0.001,1))))</f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>IF(ISNUMBER(B39),
IF(B39=0,"",B39),
VALUE(LEFT(B39,LEN(B39)-1))*
IF(RIGHT(B39,1)="k",1000,
IF(RIGHT(B39,1)="M",1000000,
IF(RIGHT(B39,1)="m",0.001,1))))</f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>IF(ISNUMBER(B40),
IF(B40=0,"",B40),
VALUE(LEFT(B40,LEN(B40)-1))*
IF(RIGHT(B40,1)="k",1000,
IF(RIGHT(B40,1)="M",1000000,
IF(RIGHT(B40,1)="m",0.001,1))))</f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>IF(ISNUMBER(B41),
IF(B41=0,"",B41),
VALUE(LEFT(B41,LEN(B41)-1))*
IF(RIGHT(B41,1)="k",1000,
IF(RIGHT(B41,1)="M",1000000,
IF(RIGHT(B41,1)="m",0.001,1))))</f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>IF(ISNUMBER(B42),
IF(B42=0,"",B42),
VALUE(LEFT(B42,LEN(B42)-1))*
IF(RIGHT(B42,1)="k",1000,
IF(RIGHT(B42,1)="M",1000000,
IF(RIGHT(B42,1)="m",0.001,1))))</f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>IF(ISNUMBER(B43),
IF(B43=0,"",B43),
VALUE(LEFT(B43,LEN(B43)-1))*
IF(RIGHT(B43,1)="k",1000,
IF(RIGHT(B43,1)="M",1000000,
IF(RIGHT(B43,1)="m",0.001,1))))</f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>IF(ISNUMBER(B44),
IF(B44=0,"",B44),
VALUE(LEFT(B44,LEN(B44)-1))*
IF(RIGHT(B44,1)="k",1000,
IF(RIGHT(B44,1)="M",1000000,
IF(RIGHT(B44,1)="m",0.001,1))))</f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>IF(ISNUMBER(B45),
IF(B45=0,"",B45),
VALUE(LEFT(B45,LEN(B45)-1))*
IF(RIGHT(B45,1)="k",1000,
IF(RIGHT(B45,1)="M",1000000,
IF(RIGHT(B45,1)="m",0.001,1))))</f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>IF(ISNUMBER(B46),
IF(B46=0,"",B46),
VALUE(LEFT(B46,LEN(B46)-1))*
IF(RIGHT(B46,1)="k",1000,
IF(RIGHT(B46,1)="M",1000000,
IF(RIGHT(B46,1)="m",0.001,1))))</f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>IF(ISNUMBER(B47),
IF(B47=0,"",B47),
VALUE(LEFT(B47,LEN(B47)-1))*
IF(RIGHT(B47,1)="k",1000,
IF(RIGHT(B47,1)="M",1000000,
IF(RIGHT(B47,1)="m",0.001,1))))</f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>IF(ISNUMBER(B48),
IF(B48=0,"",B48),
VALUE(LEFT(B48,LEN(B48)-1))*
IF(RIGHT(B48,1)="k",1000,
IF(RIGHT(B48,1)="M",1000000,
IF(RIGHT(B48,1)="m",0.001,1))))</f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>IF(ISNUMBER(B49),
IF(B49=0,"",B49),
VALUE(LEFT(B49,LEN(B49)-1))*
IF(RIGHT(B49,1)="k",1000,
IF(RIGHT(B49,1)="M",1000000,
IF(RIGHT(B49,1)="m",0.001,1))))</f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>IF(ISNUMBER(B50),
IF(B50=0,"",B50),
VALUE(LEFT(B50,LEN(B50)-1))*
IF(RIGHT(B50,1)="k",1000,
IF(RIGHT(B50,1)="M",1000000,
IF(RIGHT(B50,1)="m",0.001,1))))</f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300</v>
      </c>
      <c r="G1" s="21" t="s">
        <v>2</v>
      </c>
      <c r="H1" s="21" t="s">
        <v>32</v>
      </c>
    </row>
    <row r="2" spans="1:8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F2" t="s">
        <v>128</v>
      </c>
      <c r="G2" t="s">
        <v>303</v>
      </c>
      <c r="H2" t="s">
        <v>304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146</v>
      </c>
      <c r="C3" t="s">
        <v>227</v>
      </c>
      <c r="D3" t="s">
        <v>231</v>
      </c>
      <c r="E3" t="s">
        <v>149</v>
      </c>
      <c r="F3" t="s">
        <v>147</v>
      </c>
      <c r="G3" t="s">
        <v>148</v>
      </c>
      <c r="H3" t="s">
        <v>150</v>
      </c>
    </row>
    <row r="4" spans="1:8" x14ac:dyDescent="0.35">
      <c r="A4" s="9" t="b">
        <v>1</v>
      </c>
      <c r="B4" t="s">
        <v>87</v>
      </c>
      <c r="C4" t="s">
        <v>366</v>
      </c>
      <c r="D4" s="4" t="s">
        <v>367</v>
      </c>
      <c r="E4" t="s">
        <v>368</v>
      </c>
      <c r="F4" t="s">
        <v>122</v>
      </c>
      <c r="G4" t="s">
        <v>369</v>
      </c>
      <c r="H4" t="s">
        <v>370</v>
      </c>
    </row>
    <row r="5" spans="1:8" x14ac:dyDescent="0.35">
      <c r="A5" s="9" t="b">
        <v>1</v>
      </c>
      <c r="B5" t="s">
        <v>87</v>
      </c>
      <c r="C5" t="s">
        <v>366</v>
      </c>
      <c r="D5" t="s">
        <v>375</v>
      </c>
      <c r="E5" t="s">
        <v>374</v>
      </c>
      <c r="F5" t="s">
        <v>174</v>
      </c>
      <c r="G5" t="s">
        <v>376</v>
      </c>
      <c r="H5" t="s">
        <v>377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2026-05-14T21:59:01Z</dcterms:modified>
</cp:coreProperties>
</file>