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29A48586-2D90-4B59-B461-C138C1D40C30}" xr6:coauthVersionLast="47" xr6:coauthVersionMax="47" xr10:uidLastSave="{00000000-0000-0000-0000-000000000000}"/>
  <bookViews>
    <workbookView xWindow="-110" yWindow="-110" windowWidth="25820" windowHeight="15500" firstSheet="1" activeTab="2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17" i="2"/>
  <c r="C19" i="2"/>
  <c r="C18" i="2"/>
  <c r="C20" i="2"/>
  <c r="C15" i="2"/>
  <c r="C7" i="2"/>
  <c r="C11" i="2"/>
  <c r="C2" i="2"/>
  <c r="C3" i="2"/>
  <c r="C4" i="2"/>
  <c r="C5" i="2"/>
  <c r="C6" i="2"/>
  <c r="C8" i="2"/>
  <c r="C9" i="2"/>
  <c r="C10" i="2"/>
  <c r="C12" i="2"/>
  <c r="C13" i="2"/>
  <c r="C14" i="2"/>
  <c r="C16" i="2"/>
</calcChain>
</file>

<file path=xl/sharedStrings.xml><?xml version="1.0" encoding="utf-8"?>
<sst xmlns="http://schemas.openxmlformats.org/spreadsheetml/2006/main" count="901" uniqueCount="522">
  <si>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</si>
  <si>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</si>
  <si>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</si>
  <si>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</si>
  <si>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</si>
  <si>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</si>
  <si>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</si>
  <si>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</si>
  <si>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</si>
  <si>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</si>
  <si>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</si>
  <si>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</si>
  <si>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</si>
  <si>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</si>
  <si>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</si>
  <si>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</si>
  <si>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</si>
  <si>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</si>
  <si>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</si>
  <si>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</si>
  <si>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</si>
  <si>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</si>
  <si>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</si>
  <si>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</si>
  <si>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</si>
  <si>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</si>
  <si>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</si>
  <si>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</si>
  <si>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</si>
  <si>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</si>
  <si>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</si>
  <si>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</si>
  <si>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</si>
  <si>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</si>
  <si>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</si>
  <si>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</si>
  <si>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</si>
  <si>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</si>
  <si>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</si>
  <si>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</si>
  <si>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</si>
  <si>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</si>
  <si>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</si>
  <si>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</si>
  <si>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</si>
  <si>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</si>
  <si>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</si>
  <si>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</si>
  <si>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</si>
  <si>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</si>
  <si>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</si>
  <si>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</si>
  <si>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</si>
  <si>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</si>
  <si>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</si>
  <si>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</si>
  <si>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</si>
  <si>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</si>
  <si>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</si>
  <si>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</si>
  <si>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</si>
  <si>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</si>
  <si>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</si>
  <si>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</si>
  <si>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</si>
  <si>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</si>
  <si>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</si>
  <si>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</si>
  <si>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</si>
  <si>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</si>
  <si>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</si>
  <si>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</si>
  <si>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</si>
  <si>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</si>
  <si>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</si>
  <si>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</si>
  <si>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</si>
  <si>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</si>
  <si>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</si>
  <si>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</si>
  <si>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</si>
  <si>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</si>
  <si>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</si>
  <si>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</si>
  <si>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</si>
  <si>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</si>
  <si>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</si>
  <si>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</si>
  <si>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</si>
  <si>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</si>
  <si>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</si>
  <si>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</si>
  <si>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</si>
  <si>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</si>
  <si>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</si>
  <si>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</si>
  <si>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</si>
  <si>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</si>
  <si>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</si>
  <si>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</si>
  <si>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</si>
  <si>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</si>
  <si>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</si>
  <si>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</si>
  <si>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</si>
  <si>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</si>
  <si>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</si>
  <si>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</si>
  <si>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</si>
  <si>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</si>
  <si>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</si>
  <si>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</si>
  <si>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</si>
  <si>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</si>
  <si>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</si>
  <si>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</si>
  <si>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</si>
  <si>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</si>
  <si>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</si>
  <si>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</si>
  <si>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</si>
  <si>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</si>
  <si>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</si>
  <si>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</si>
  <si>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</si>
  <si>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</si>
  <si>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</si>
  <si>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</si>
  <si>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</si>
  <si>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</si>
  <si>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</si>
  <si>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</si>
  <si>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</si>
  <si>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</si>
  <si>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</si>
  <si>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</si>
  <si>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</si>
  <si>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</si>
  <si>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</si>
  <si>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</si>
  <si>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</si>
  <si>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</si>
  <si>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</si>
  <si>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</si>
  <si>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</si>
  <si>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</si>
  <si>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</si>
  <si>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</si>
  <si>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</si>
  <si>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</si>
  <si>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</si>
  <si>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</si>
  <si>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</si>
  <si>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</si>
  <si>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</si>
  <si>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</si>
  <si>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</si>
  <si>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</si>
  <si>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</si>
  <si>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</si>
  <si>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</si>
  <si>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</si>
  <si>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</si>
  <si>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</si>
  <si>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</si>
  <si>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</si>
  <si>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</si>
  <si>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</si>
  <si>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</si>
  <si>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</si>
  <si>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</si>
  <si>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</si>
  <si>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</si>
  <si>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</si>
  <si>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</si>
  <si>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</si>
  <si>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</si>
  <si>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</si>
  <si>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</si>
  <si>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</si>
  <si>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</si>
  <si>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</si>
  <si>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</si>
  <si>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</si>
  <si>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</si>
  <si>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</si>
  <si>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</si>
  <si>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</si>
  <si>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</si>
  <si>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</si>
  <si>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</si>
  <si>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</si>
  <si>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</si>
  <si>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</si>
  <si>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</si>
  <si>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</si>
  <si>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</si>
  <si>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</si>
  <si>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</si>
  <si>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</si>
  <si>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</si>
  <si>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</si>
  <si>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</si>
  <si>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</si>
  <si>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</si>
  <si>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</si>
  <si>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</si>
  <si>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</si>
  <si>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</si>
  <si>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</si>
  <si>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</si>
  <si>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</si>
  <si>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</si>
  <si>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</si>
  <si>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</si>
  <si>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</si>
  <si>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</si>
  <si>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</si>
  <si>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</si>
  <si>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</si>
  <si>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</si>
  <si>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</si>
  <si>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</si>
  <si>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</si>
  <si>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</si>
  <si>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</si>
  <si>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</si>
  <si>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</si>
  <si>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</si>
  <si>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</si>
  <si>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</si>
  <si>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</si>
  <si>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</si>
  <si>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</si>
  <si>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</si>
  <si>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</si>
  <si>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</si>
  <si>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</si>
  <si>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</si>
  <si>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</si>
  <si>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</si>
  <si>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</si>
  <si>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</si>
  <si>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</si>
  <si>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</si>
  <si>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</si>
  <si>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</si>
  <si>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</si>
  <si>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</si>
  <si>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</si>
  <si>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</si>
  <si>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</si>
  <si>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</si>
  <si>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</si>
  <si>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</si>
  <si>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</si>
  <si>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</si>
  <si>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</si>
  <si>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</si>
  <si>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</si>
  <si>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</si>
  <si>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</si>
  <si>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</si>
  <si>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</si>
  <si>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</si>
  <si>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</si>
  <si>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</si>
  <si>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</si>
  <si>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</si>
  <si>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</si>
  <si>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</si>
  <si>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</si>
  <si>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</si>
  <si>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</si>
  <si>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</si>
  <si>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</si>
  <si>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</si>
  <si>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</si>
  <si>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</si>
  <si>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</si>
  <si>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</si>
  <si>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</si>
  <si>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</si>
  <si>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</si>
  <si>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</si>
  <si>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</si>
  <si>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</si>
  <si>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</si>
  <si>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</si>
  <si>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</si>
  <si>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</si>
  <si>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</si>
  <si>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</si>
  <si>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</si>
  <si>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</si>
  <si>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</si>
  <si>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</si>
  <si>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</si>
  <si>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</si>
  <si>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</si>
  <si>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</si>
  <si>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</si>
  <si>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</si>
  <si>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</si>
  <si>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</si>
  <si>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</si>
  <si>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</si>
  <si>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</si>
  <si>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</si>
  <si>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</si>
  <si>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</si>
  <si>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</si>
  <si>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</si>
  <si>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</si>
  <si>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</si>
  <si>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</si>
  <si>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</si>
  <si>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</si>
  <si>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</si>
  <si>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</si>
  <si>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</si>
  <si>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</si>
  <si>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</si>
  <si>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</si>
  <si>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</si>
  <si>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</si>
  <si>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</si>
  <si>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</si>
  <si>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</si>
  <si>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</si>
  <si>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</si>
  <si>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</si>
  <si>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</si>
  <si>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</si>
  <si>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</si>
  <si>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</si>
  <si>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</si>
  <si>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</si>
  <si>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</si>
  <si>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</si>
  <si>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</si>
  <si>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</si>
  <si>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Drives an external NMOS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</si>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</sst>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76"/>
    <tableColumn id="1" xr3:uid="{BDC3005D-8889-49B9-B05B-9B4FB822D92C}" name="Capacitance"/>
    <tableColumn id="2" xr3:uid="{204119AE-0485-4922-A3C8-7CDD048C63F5}" name="Package" dataDxfId="75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4"/>
    <tableColumn id="9" xr3:uid="{B82114B5-A4D9-4327-9F80-0D9587A64062}" name="Polarity" dataDxfId="73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2">
  <autoFilter ref="A1:H50" xr:uid="{7090E628-1F8E-4CB3-BC5C-768E76CEFDDC}"/>
  <sortState xmlns:xlrd2="http://schemas.microsoft.com/office/spreadsheetml/2017/richdata2" ref="A2:H31">
    <sortCondition ref="B1:B31"/>
  </sortState>
  <tableColumns count="8">
    <tableColumn id="7" xr3:uid="{CE9E315A-1702-4F78-8ECF-1DA1A2B792AA}" name="Added to Altium?" dataDxfId="71"/>
    <tableColumn id="1" xr3:uid="{D5AE5A29-FEF0-4556-97F0-002479587894}" name="Series / Family" dataDxfId="70"/>
    <tableColumn id="2" xr3:uid="{8673F73F-EA18-4F48-837C-C3D933082CD8}" name="# Pins" dataDxfId="69"/>
    <tableColumn id="3" xr3:uid="{F61E1994-58CD-4ECF-A835-1786BECF70C2}" name="Gender (plug/port)" dataDxfId="68"/>
    <tableColumn id="4" xr3:uid="{ADD992CB-74CD-4839-9C1F-4CA1C98DDDE6}" name="Part Number" dataDxfId="67"/>
    <tableColumn id="8" xr3:uid="{0052054B-61D9-4444-933B-4830DE18EF5D}" name="Mating Connector Part Number" dataDxfId="66"/>
    <tableColumn id="9" xr3:uid="{DF57140F-10E9-43CB-BE16-5AB59D2592F7}" name="Notes" dataDxfId="65"/>
    <tableColumn id="5" xr3:uid="{E04857DF-CEB1-4D64-87C3-2580C252E44F}" name="Description" dataDxfId="64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63">
  <autoFilter ref="A1:G7" xr:uid="{AC1B69C7-59BA-492E-BEF3-378F8F5A5F42}"/>
  <tableColumns count="7">
    <tableColumn id="7" xr3:uid="{373BF80E-AE0E-45C8-9A43-A9D96680B6E9}" name="Added to Altium?" dataDxfId="62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1">
  <autoFilter ref="A1:F50" xr:uid="{C5737D88-F4D8-4117-9BA5-1B2CC31DE11A}"/>
  <tableColumns count="6">
    <tableColumn id="7" xr3:uid="{6415E46E-CEE3-460F-B779-529E15CD07B6}" name="Added to Altium?" dataDxfId="60"/>
    <tableColumn id="8" xr3:uid="{A1AE6712-2A25-444F-8418-5CCFC5CDB835}" name="Series" dataDxfId="5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8">
  <autoFilter ref="A1:E11" xr:uid="{EE7552C4-F486-457F-A2F8-480493B7351C}"/>
  <tableColumns count="5">
    <tableColumn id="5" xr3:uid="{7A1ACCA6-7C12-421C-A8B0-DAF52C5B82F1}" name="Added to Altium?" dataDxfId="57"/>
    <tableColumn id="1" xr3:uid="{29766E43-A003-4F30-8FBC-98197408FA6D}" name="Part Number" dataDxfId="56"/>
    <tableColumn id="2" xr3:uid="{9E0E83BD-C619-4B71-B8D8-093D6B07D9D5}" name="Package" dataDxfId="55"/>
    <tableColumn id="3" xr3:uid="{6C643D04-D582-419C-9C7F-1B57D4315CFE}" name="Resistance" dataDxfId="54"/>
    <tableColumn id="4" xr3:uid="{67D14711-9F21-4BBC-9182-15BB5F898016}" name="Description" dataDxfId="53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2">
  <autoFilter ref="A1:I10" xr:uid="{53E52592-BBF3-4884-BA3C-21683DC4F0F1}"/>
  <tableColumns count="9">
    <tableColumn id="7" xr3:uid="{9030A4FE-0A13-4A65-8271-CB2306DED874}" name="Added to Altium?" dataDxfId="51"/>
    <tableColumn id="8" xr3:uid="{7A093B6F-93A8-4A04-9A40-8451BE8854E4}" name="Type" dataDxfId="5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49"/>
    <tableColumn id="5" xr3:uid="{0460994E-DB61-407B-B7D3-3CAA8ED4BC9D}" name="Function" dataDxfId="48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7">
  <autoFilter ref="A1:E11" xr:uid="{8788865D-3714-4394-BD76-99FF24EF6888}"/>
  <tableColumns count="5">
    <tableColumn id="5" xr3:uid="{67CA846A-F07D-4034-8F63-B4E47CA7F931}" name="Added to Altium?" dataDxfId="46"/>
    <tableColumn id="1" xr3:uid="{EBC427FC-C649-421F-A511-F4C6E090217A}" name="Inductance" dataDxfId="45"/>
    <tableColumn id="2" xr3:uid="{57FAF0ED-182E-4A05-89A5-EE5FE9CF2C31}" name="Package" dataDxfId="44"/>
    <tableColumn id="3" xr3:uid="{5B4ACDCC-FB26-4063-91C8-D6D43ABD7134}" name="Part Number" dataDxfId="43"/>
    <tableColumn id="4" xr3:uid="{CFE06357-AAEA-49E4-8ED8-14478316C7C8}" name="Description" dataDxfId="42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41"/>
    <tableColumn id="8" xr3:uid="{22D7B7BF-E3CF-4637-92B5-B74434B0A877}" name="Type" dataDxfId="40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9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8">
  <autoFilter ref="A1:G10" xr:uid="{EF03BBEA-AE4C-45BB-9CD5-736F7FCCE237}"/>
  <tableColumns count="7">
    <tableColumn id="4" xr3:uid="{2AE73037-16FE-4A0E-B4B4-CF3863388825}" name="Added to Altium?" dataDxfId="37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7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H11" totalsRowShown="0" headerRowDxfId="2">
  <autoFilter ref="A1:H11" xr:uid="{EA8CC69A-B6DA-4750-BA77-538662D89C27}"/>
  <tableColumns count="8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180</v>
      </c>
    </row>
    <row r="2" spans="1:4" x14ac:dyDescent="0.35">
      <c r="A2" t="s">
        <v>181</v>
      </c>
    </row>
    <row r="3" spans="1:4" x14ac:dyDescent="0.35">
      <c r="A3" t="s">
        <v>192</v>
      </c>
      <c r="D3" t="s">
        <v>199</v>
      </c>
    </row>
    <row r="4" spans="1:4" x14ac:dyDescent="0.35">
      <c r="A4" t="s">
        <v>190</v>
      </c>
    </row>
    <row r="5" spans="1:4" x14ac:dyDescent="0.35">
      <c r="A5" t="s">
        <v>182</v>
      </c>
      <c r="D5" t="s">
        <v>200</v>
      </c>
    </row>
    <row r="6" spans="1:4" x14ac:dyDescent="0.35">
      <c r="A6" t="s">
        <v>193</v>
      </c>
    </row>
    <row r="7" spans="1:4" x14ac:dyDescent="0.35">
      <c r="A7" t="s">
        <v>191</v>
      </c>
    </row>
    <row r="8" spans="1:4" x14ac:dyDescent="0.35">
      <c r="A8" t="s">
        <v>186</v>
      </c>
    </row>
    <row r="9" spans="1:4" x14ac:dyDescent="0.35">
      <c r="A9" t="s">
        <v>185</v>
      </c>
    </row>
    <row r="10" spans="1:4" x14ac:dyDescent="0.35">
      <c r="A10" t="s">
        <v>188</v>
      </c>
    </row>
    <row r="11" spans="1:4" x14ac:dyDescent="0.35">
      <c r="A11" t="s">
        <v>189</v>
      </c>
    </row>
    <row r="12" spans="1:4" x14ac:dyDescent="0.35">
      <c r="A12" t="s">
        <v>235</v>
      </c>
    </row>
    <row r="13" spans="1:4" x14ac:dyDescent="0.35">
      <c r="A13" t="s">
        <v>183</v>
      </c>
    </row>
    <row r="14" spans="1:4" x14ac:dyDescent="0.35">
      <c r="A14" t="s">
        <v>184</v>
      </c>
    </row>
    <row r="15" spans="1:4" x14ac:dyDescent="0.35">
      <c r="A15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zoomScale="110" workbookViewId="0">
      <selection activeCell="D22" sqref="D2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201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194</v>
      </c>
      <c r="G1" s="2" t="s">
        <v>204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202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202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202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202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202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202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202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203</v>
      </c>
      <c r="H9" t="s">
        <v>116</v>
      </c>
      <c r="I9" t="s">
        <v>114</v>
      </c>
    </row>
    <row r="10" spans="1:9" x14ac:dyDescent="0.35">
      <c r="A10" s="9" t="b">
        <v>1</v>
      </c>
      <c r="B10" t="s">
        <v>298</v>
      </c>
      <c r="C10" s="3" t="s">
        <v>129</v>
      </c>
      <c r="D10" t="s">
        <v>110</v>
      </c>
      <c r="E10" s="5">
        <v>0.1</v>
      </c>
      <c r="F10" s="3" t="s">
        <v>129</v>
      </c>
      <c r="G10" s="3" t="s">
        <v>202</v>
      </c>
      <c r="H10" t="s">
        <v>10</v>
      </c>
      <c r="I10" t="s">
        <v>297</v>
      </c>
    </row>
    <row r="11" spans="1:9" x14ac:dyDescent="0.35">
      <c r="A11" s="9" t="b">
        <v>1</v>
      </c>
      <c r="B11" t="s">
        <v>324</v>
      </c>
      <c r="C11" s="3" t="s">
        <v>9</v>
      </c>
      <c r="D11" t="s">
        <v>110</v>
      </c>
      <c r="E11" s="5">
        <v>0.05</v>
      </c>
      <c r="F11" s="3" t="s">
        <v>107</v>
      </c>
      <c r="G11" s="3" t="s">
        <v>202</v>
      </c>
      <c r="H11" t="s">
        <v>10</v>
      </c>
      <c r="I11" t="s">
        <v>323</v>
      </c>
    </row>
    <row r="12" spans="1:9" x14ac:dyDescent="0.35">
      <c r="A12" s="9" t="b">
        <v>1</v>
      </c>
      <c r="B12" t="s">
        <v>348</v>
      </c>
      <c r="C12" s="3" t="s">
        <v>129</v>
      </c>
      <c r="D12" t="s">
        <v>349</v>
      </c>
      <c r="E12" s="5">
        <v>0.2</v>
      </c>
      <c r="F12" s="3" t="s">
        <v>129</v>
      </c>
      <c r="G12" s="3" t="s">
        <v>203</v>
      </c>
      <c r="H12" t="s">
        <v>116</v>
      </c>
      <c r="I12" t="s">
        <v>350</v>
      </c>
    </row>
    <row r="13" spans="1:9" x14ac:dyDescent="0.35">
      <c r="A13" s="9" t="b">
        <v>1</v>
      </c>
      <c r="B13" t="s">
        <v>12</v>
      </c>
      <c r="C13" s="3" t="s">
        <v>9</v>
      </c>
      <c r="D13" t="s">
        <v>6</v>
      </c>
      <c r="E13" s="5">
        <v>0.2</v>
      </c>
      <c r="F13" s="3" t="s">
        <v>107</v>
      </c>
      <c r="G13" s="3" t="s">
        <v>202</v>
      </c>
      <c r="H13" t="s">
        <v>10</v>
      </c>
      <c r="I13" t="s">
        <v>381</v>
      </c>
    </row>
    <row r="14" spans="1:9" x14ac:dyDescent="0.35">
      <c r="A14" s="9" t="b">
        <v>1</v>
      </c>
      <c r="B14" t="s">
        <v>405</v>
      </c>
      <c r="C14" s="3" t="s">
        <v>9</v>
      </c>
      <c r="D14" t="s">
        <v>110</v>
      </c>
      <c r="E14" s="5">
        <v>0.01</v>
      </c>
      <c r="F14" s="3" t="s">
        <v>107</v>
      </c>
      <c r="G14" s="3" t="s">
        <v>202</v>
      </c>
      <c r="H14" t="s">
        <v>10</v>
      </c>
      <c r="I14" t="s">
        <v>406</v>
      </c>
    </row>
    <row r="15" spans="1:9" x14ac:dyDescent="0.35">
      <c r="A15" s="9" t="b">
        <v>1</v>
      </c>
      <c r="B15" t="s">
        <v>429</v>
      </c>
      <c r="C15" s="3" t="s">
        <v>129</v>
      </c>
      <c r="D15" t="s">
        <v>110</v>
      </c>
      <c r="E15" s="5">
        <v>0.2</v>
      </c>
      <c r="F15" s="3" t="s">
        <v>129</v>
      </c>
      <c r="G15" s="3" t="s">
        <v>202</v>
      </c>
      <c r="H15" t="s">
        <v>10</v>
      </c>
      <c r="I15" t="s">
        <v>430</v>
      </c>
    </row>
    <row r="16" spans="1:9" x14ac:dyDescent="0.35">
      <c r="A16" s="9" t="b">
        <v>1</v>
      </c>
      <c r="B16" t="s">
        <v>433</v>
      </c>
      <c r="C16" s="3" t="s">
        <v>129</v>
      </c>
      <c r="D16" t="s">
        <v>349</v>
      </c>
      <c r="E16" s="5">
        <v>0.2</v>
      </c>
      <c r="F16" s="3" t="s">
        <v>129</v>
      </c>
      <c r="G16" s="3" t="s">
        <v>203</v>
      </c>
      <c r="H16" t="s">
        <v>116</v>
      </c>
      <c r="I16" t="s">
        <v>434</v>
      </c>
    </row>
    <row r="17" spans="1:9" x14ac:dyDescent="0.35">
      <c r="A17" s="9" t="b">
        <v>1</v>
      </c>
      <c r="B17" t="s">
        <v>5</v>
      </c>
      <c r="C17" s="3" t="s">
        <v>129</v>
      </c>
      <c r="D17" t="s">
        <v>110</v>
      </c>
      <c r="E17" s="5">
        <v>0.1</v>
      </c>
      <c r="F17" s="3" t="s">
        <v>129</v>
      </c>
      <c r="G17" s="3" t="s">
        <v>202</v>
      </c>
      <c r="H17" t="s">
        <v>10</v>
      </c>
      <c r="I17" t="s">
        <v>435</v>
      </c>
    </row>
    <row r="18" spans="1:9" x14ac:dyDescent="0.35">
      <c r="A18" s="9" t="b">
        <v>1</v>
      </c>
      <c r="B18" t="s">
        <v>12</v>
      </c>
      <c r="C18" s="3" t="s">
        <v>129</v>
      </c>
      <c r="D18" t="s">
        <v>436</v>
      </c>
      <c r="E18" s="5">
        <v>0.2</v>
      </c>
      <c r="F18" s="3" t="s">
        <v>129</v>
      </c>
      <c r="G18" s="3" t="s">
        <v>203</v>
      </c>
      <c r="H18" t="s">
        <v>116</v>
      </c>
      <c r="I18" t="s">
        <v>437</v>
      </c>
    </row>
    <row r="19" spans="1:9" x14ac:dyDescent="0.35">
      <c r="A19" s="9" t="b">
        <v>1</v>
      </c>
      <c r="B19" t="s">
        <v>462</v>
      </c>
      <c r="C19" s="3" t="s">
        <v>9</v>
      </c>
      <c r="D19" t="s">
        <v>110</v>
      </c>
      <c r="E19" s="5">
        <v>0.05</v>
      </c>
      <c r="F19" s="3" t="s">
        <v>107</v>
      </c>
      <c r="G19" s="3" t="s">
        <v>202</v>
      </c>
      <c r="H19" t="s">
        <v>10</v>
      </c>
      <c r="I19" t="s">
        <v>463</v>
      </c>
    </row>
    <row r="20" spans="1:9" x14ac:dyDescent="0.35">
      <c r="A20" s="9" t="b">
        <v>1</v>
      </c>
      <c r="B20" t="s">
        <v>298</v>
      </c>
      <c r="C20" s="3" t="s">
        <v>9</v>
      </c>
      <c r="D20" t="s">
        <v>19</v>
      </c>
      <c r="E20" s="5">
        <v>0.1</v>
      </c>
      <c r="F20" s="3" t="s">
        <v>107</v>
      </c>
      <c r="G20" s="3" t="s">
        <v>202</v>
      </c>
      <c r="H20" t="s">
        <v>10</v>
      </c>
      <c r="I20" t="s">
        <v>510</v>
      </c>
    </row>
    <row r="21" spans="1:9" x14ac:dyDescent="0.35">
      <c r="A21" s="9" t="b">
        <v>1</v>
      </c>
      <c r="B21" t="s">
        <v>511</v>
      </c>
      <c r="C21" s="3" t="s">
        <v>9</v>
      </c>
      <c r="D21" t="s">
        <v>110</v>
      </c>
      <c r="E21" s="5">
        <v>0.05</v>
      </c>
      <c r="F21" s="3" t="s">
        <v>107</v>
      </c>
      <c r="G21" s="3" t="s">
        <v>202</v>
      </c>
      <c r="H21" t="s">
        <v>10</v>
      </c>
      <c r="I21" t="s">
        <v>512</v>
      </c>
    </row>
    <row r="22" spans="1:9" x14ac:dyDescent="0.35">
      <c r="A22" s="9" t="b">
        <v>0</v>
      </c>
      <c r="B22" t="s">
        <v>513</v>
      </c>
      <c r="C22" s="3" t="s">
        <v>9</v>
      </c>
    </row>
    <row r="23" spans="1:9" x14ac:dyDescent="0.35">
      <c r="A23" s="9" t="b">
        <v>0</v>
      </c>
    </row>
    <row r="24" spans="1:9" x14ac:dyDescent="0.35">
      <c r="A24" s="9" t="b">
        <v>0</v>
      </c>
    </row>
    <row r="25" spans="1:9" x14ac:dyDescent="0.35">
      <c r="A25" s="9" t="b">
        <v>0</v>
      </c>
    </row>
    <row r="26" spans="1:9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abSelected="1" zoomScale="89" zoomScaleNormal="130" workbookViewId="0">
      <selection activeCell="F18" sqref="F18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201</v>
      </c>
      <c r="B1" s="3" t="s">
        <v>153</v>
      </c>
      <c r="C1" s="12" t="s">
        <v>245</v>
      </c>
      <c r="D1" s="3" t="s">
        <v>157</v>
      </c>
      <c r="E1" s="3" t="s">
        <v>2</v>
      </c>
      <c r="F1" s="3" t="s">
        <v>162</v>
      </c>
      <c r="G1" s="3" t="s">
        <v>212</v>
      </c>
      <c r="H1" s="3" t="s">
        <v>33</v>
      </c>
    </row>
    <row r="2" spans="1:8" x14ac:dyDescent="0.35">
      <c r="A2" s="10" t="b">
        <v>1</v>
      </c>
      <c r="B2" s="3" t="s">
        <v>205</v>
      </c>
      <c r="C2" s="12">
        <v>2</v>
      </c>
      <c r="D2" s="3" t="s">
        <v>159</v>
      </c>
      <c r="E2" s="3" t="s">
        <v>206</v>
      </c>
      <c r="H2" s="3" t="s">
        <v>207</v>
      </c>
    </row>
    <row r="3" spans="1:8" x14ac:dyDescent="0.35">
      <c r="A3" s="10" t="b">
        <v>1</v>
      </c>
      <c r="B3" s="3" t="s">
        <v>242</v>
      </c>
      <c r="C3" s="12">
        <v>9</v>
      </c>
      <c r="D3" s="3" t="s">
        <v>158</v>
      </c>
      <c r="E3" s="3" t="s">
        <v>243</v>
      </c>
      <c r="G3" s="3" t="s">
        <v>246</v>
      </c>
      <c r="H3" s="3" t="s">
        <v>244</v>
      </c>
    </row>
    <row r="4" spans="1:8" x14ac:dyDescent="0.35">
      <c r="A4" s="10" t="b">
        <v>1</v>
      </c>
      <c r="B4" s="3" t="s">
        <v>208</v>
      </c>
      <c r="C4" s="12">
        <v>10</v>
      </c>
      <c r="D4" s="3" t="s">
        <v>160</v>
      </c>
    </row>
    <row r="5" spans="1:8" x14ac:dyDescent="0.35">
      <c r="A5" s="10" t="b">
        <v>1</v>
      </c>
      <c r="B5" s="3" t="s">
        <v>208</v>
      </c>
      <c r="C5" s="12">
        <v>2</v>
      </c>
      <c r="D5" s="3" t="s">
        <v>160</v>
      </c>
    </row>
    <row r="6" spans="1:8" x14ac:dyDescent="0.35">
      <c r="A6" s="10" t="b">
        <v>1</v>
      </c>
      <c r="B6" s="3" t="s">
        <v>208</v>
      </c>
      <c r="C6" s="12">
        <v>3</v>
      </c>
      <c r="D6" s="3" t="s">
        <v>160</v>
      </c>
    </row>
    <row r="7" spans="1:8" x14ac:dyDescent="0.35">
      <c r="A7" s="10" t="b">
        <v>1</v>
      </c>
      <c r="B7" s="3" t="s">
        <v>208</v>
      </c>
      <c r="C7" s="12">
        <v>4</v>
      </c>
      <c r="D7" s="3" t="s">
        <v>160</v>
      </c>
    </row>
    <row r="8" spans="1:8" x14ac:dyDescent="0.35">
      <c r="A8" s="10" t="b">
        <v>1</v>
      </c>
      <c r="B8" s="3" t="s">
        <v>208</v>
      </c>
      <c r="C8" s="12">
        <v>5</v>
      </c>
      <c r="D8" s="3" t="s">
        <v>335</v>
      </c>
    </row>
    <row r="9" spans="1:8" x14ac:dyDescent="0.35">
      <c r="A9" s="10" t="b">
        <v>1</v>
      </c>
      <c r="B9" s="3" t="s">
        <v>208</v>
      </c>
      <c r="C9" s="12">
        <v>6</v>
      </c>
      <c r="D9" s="3" t="s">
        <v>335</v>
      </c>
    </row>
    <row r="10" spans="1:8" x14ac:dyDescent="0.35">
      <c r="A10" s="10" t="b">
        <v>1</v>
      </c>
      <c r="B10" s="3" t="s">
        <v>208</v>
      </c>
      <c r="C10" s="12">
        <v>8</v>
      </c>
      <c r="D10" s="3" t="s">
        <v>335</v>
      </c>
    </row>
    <row r="11" spans="1:8" x14ac:dyDescent="0.35">
      <c r="A11" s="10" t="b">
        <v>1</v>
      </c>
      <c r="B11" s="3" t="s">
        <v>208</v>
      </c>
      <c r="C11" s="12">
        <v>24</v>
      </c>
      <c r="D11" s="3" t="s">
        <v>335</v>
      </c>
    </row>
    <row r="12" spans="1:8" x14ac:dyDescent="0.35">
      <c r="A12" s="10" t="b">
        <v>1</v>
      </c>
      <c r="B12" s="3" t="s">
        <v>208</v>
      </c>
      <c r="C12" s="12">
        <v>26</v>
      </c>
      <c r="D12" s="3" t="s">
        <v>335</v>
      </c>
    </row>
    <row r="13" spans="1:8" x14ac:dyDescent="0.35">
      <c r="A13" s="10" t="b">
        <v>1</v>
      </c>
      <c r="B13" s="3" t="s">
        <v>156</v>
      </c>
      <c r="C13" s="12">
        <v>2</v>
      </c>
      <c r="D13" s="3" t="s">
        <v>336</v>
      </c>
      <c r="E13" s="3" t="s">
        <v>41</v>
      </c>
      <c r="F13" s="3" t="s">
        <v>161</v>
      </c>
      <c r="H13" s="3" t="s">
        <v>42</v>
      </c>
    </row>
    <row r="14" spans="1:8" x14ac:dyDescent="0.35">
      <c r="A14" s="10" t="b">
        <v>1</v>
      </c>
      <c r="B14" s="3" t="s">
        <v>156</v>
      </c>
      <c r="C14" s="12">
        <v>3</v>
      </c>
      <c r="D14" s="3" t="s">
        <v>336</v>
      </c>
      <c r="E14" s="3" t="s">
        <v>40</v>
      </c>
      <c r="F14" s="3" t="s">
        <v>179</v>
      </c>
      <c r="H14" s="3" t="s">
        <v>39</v>
      </c>
    </row>
    <row r="15" spans="1:8" x14ac:dyDescent="0.35">
      <c r="A15" s="10" t="b">
        <v>1</v>
      </c>
      <c r="B15" s="3" t="s">
        <v>156</v>
      </c>
      <c r="C15" s="12">
        <v>4</v>
      </c>
      <c r="D15" s="3" t="s">
        <v>336</v>
      </c>
      <c r="E15" s="3" t="s">
        <v>211</v>
      </c>
      <c r="F15" s="3" t="s">
        <v>210</v>
      </c>
    </row>
    <row r="16" spans="1:8" x14ac:dyDescent="0.35">
      <c r="A16" s="10" t="b">
        <v>1</v>
      </c>
      <c r="B16" s="3" t="s">
        <v>156</v>
      </c>
      <c r="C16" s="12">
        <v>6</v>
      </c>
      <c r="D16" s="3" t="s">
        <v>336</v>
      </c>
      <c r="E16" s="3" t="s">
        <v>43</v>
      </c>
      <c r="H16" s="3" t="s">
        <v>44</v>
      </c>
    </row>
    <row r="17" spans="1:8" x14ac:dyDescent="0.35">
      <c r="A17" s="10" t="b">
        <v>1</v>
      </c>
      <c r="B17" s="3" t="s">
        <v>209</v>
      </c>
      <c r="C17" s="12">
        <v>10</v>
      </c>
      <c r="D17" s="3" t="s">
        <v>336</v>
      </c>
      <c r="E17" s="3" t="s">
        <v>38</v>
      </c>
      <c r="H17" s="3" t="s">
        <v>37</v>
      </c>
    </row>
    <row r="18" spans="1:8" x14ac:dyDescent="0.35">
      <c r="A18" s="10" t="b">
        <v>1</v>
      </c>
      <c r="B18" s="3" t="s">
        <v>209</v>
      </c>
      <c r="C18" s="12">
        <v>16</v>
      </c>
      <c r="D18" s="3" t="s">
        <v>336</v>
      </c>
      <c r="E18" s="3" t="s">
        <v>169</v>
      </c>
      <c r="F18" s="3" t="s">
        <v>169</v>
      </c>
      <c r="H18" s="3" t="s">
        <v>170</v>
      </c>
    </row>
    <row r="19" spans="1:8" x14ac:dyDescent="0.35">
      <c r="A19" s="10" t="b">
        <v>1</v>
      </c>
      <c r="B19" s="3" t="s">
        <v>154</v>
      </c>
      <c r="C19" s="12">
        <v>10</v>
      </c>
      <c r="D19" s="3" t="s">
        <v>336</v>
      </c>
    </row>
    <row r="20" spans="1:8" x14ac:dyDescent="0.35">
      <c r="A20" s="10" t="b">
        <v>1</v>
      </c>
      <c r="B20" s="3" t="s">
        <v>154</v>
      </c>
      <c r="C20" s="12">
        <v>2</v>
      </c>
      <c r="D20" s="3" t="s">
        <v>336</v>
      </c>
      <c r="E20" s="3" t="s">
        <v>152</v>
      </c>
      <c r="H20" s="3" t="s">
        <v>99</v>
      </c>
    </row>
    <row r="21" spans="1:8" x14ac:dyDescent="0.35">
      <c r="A21" s="10" t="b">
        <v>1</v>
      </c>
      <c r="B21" s="3" t="s">
        <v>154</v>
      </c>
      <c r="C21" s="12">
        <v>3</v>
      </c>
      <c r="D21" s="3" t="s">
        <v>336</v>
      </c>
      <c r="E21" s="3" t="s">
        <v>98</v>
      </c>
      <c r="H21" s="3" t="s">
        <v>99</v>
      </c>
    </row>
    <row r="22" spans="1:8" x14ac:dyDescent="0.35">
      <c r="A22" s="10" t="b">
        <v>1</v>
      </c>
      <c r="B22" s="3" t="s">
        <v>154</v>
      </c>
      <c r="C22" s="12">
        <v>4</v>
      </c>
      <c r="D22" s="3" t="s">
        <v>336</v>
      </c>
      <c r="E22" s="3" t="s">
        <v>353</v>
      </c>
      <c r="H22" s="3" t="s">
        <v>354</v>
      </c>
    </row>
    <row r="23" spans="1:8" x14ac:dyDescent="0.35">
      <c r="A23" s="10" t="b">
        <v>1</v>
      </c>
      <c r="B23" s="3" t="s">
        <v>154</v>
      </c>
      <c r="C23" s="12">
        <v>5</v>
      </c>
      <c r="D23" s="3" t="s">
        <v>336</v>
      </c>
      <c r="E23" s="3" t="s">
        <v>351</v>
      </c>
      <c r="H23" s="3" t="s">
        <v>352</v>
      </c>
    </row>
    <row r="24" spans="1:8" x14ac:dyDescent="0.35">
      <c r="A24" s="10" t="b">
        <v>1</v>
      </c>
      <c r="B24" s="3" t="s">
        <v>154</v>
      </c>
      <c r="C24" s="12">
        <v>6</v>
      </c>
      <c r="D24" s="3" t="s">
        <v>336</v>
      </c>
      <c r="E24" s="3" t="s">
        <v>355</v>
      </c>
      <c r="H24" s="3" t="s">
        <v>356</v>
      </c>
    </row>
    <row r="25" spans="1:8" x14ac:dyDescent="0.35">
      <c r="A25" s="10" t="b">
        <v>1</v>
      </c>
      <c r="B25" s="3" t="s">
        <v>154</v>
      </c>
      <c r="C25" s="12">
        <v>10</v>
      </c>
      <c r="D25" s="3" t="s">
        <v>336</v>
      </c>
      <c r="E25" s="3" t="s">
        <v>357</v>
      </c>
      <c r="H25" s="3" t="s">
        <v>358</v>
      </c>
    </row>
    <row r="26" spans="1:8" x14ac:dyDescent="0.35">
      <c r="A26" s="10" t="b">
        <v>1</v>
      </c>
      <c r="B26" s="3" t="s">
        <v>270</v>
      </c>
      <c r="C26" s="12">
        <v>4</v>
      </c>
      <c r="D26" s="3" t="s">
        <v>336</v>
      </c>
      <c r="E26" s="3" t="s">
        <v>271</v>
      </c>
      <c r="G26" s="3" t="s">
        <v>338</v>
      </c>
      <c r="H26" s="3" t="s">
        <v>272</v>
      </c>
    </row>
    <row r="27" spans="1:8" x14ac:dyDescent="0.35">
      <c r="A27" s="10" t="b">
        <v>1</v>
      </c>
      <c r="B27" s="3" t="s">
        <v>155</v>
      </c>
      <c r="C27" s="12"/>
      <c r="D27" s="3" t="s">
        <v>336</v>
      </c>
      <c r="E27" s="3" t="s">
        <v>96</v>
      </c>
      <c r="G27" s="3" t="s">
        <v>247</v>
      </c>
      <c r="H27" s="3" t="s">
        <v>97</v>
      </c>
    </row>
    <row r="28" spans="1:8" x14ac:dyDescent="0.35">
      <c r="A28" s="10" t="b">
        <v>1</v>
      </c>
      <c r="B28" s="3" t="s">
        <v>334</v>
      </c>
      <c r="C28" s="12">
        <v>4</v>
      </c>
      <c r="D28" s="3" t="s">
        <v>336</v>
      </c>
      <c r="E28" s="3" t="s">
        <v>337</v>
      </c>
      <c r="G28" s="3" t="s">
        <v>338</v>
      </c>
      <c r="H28" s="3" t="s">
        <v>339</v>
      </c>
    </row>
    <row r="29" spans="1:8" x14ac:dyDescent="0.35">
      <c r="A29" s="10" t="b">
        <v>1</v>
      </c>
      <c r="B29" s="3" t="s">
        <v>340</v>
      </c>
      <c r="C29" s="12">
        <v>8</v>
      </c>
      <c r="D29" s="3" t="s">
        <v>336</v>
      </c>
      <c r="E29" s="3" t="s">
        <v>407</v>
      </c>
      <c r="G29" s="3" t="s">
        <v>338</v>
      </c>
      <c r="H29" s="3" t="s">
        <v>408</v>
      </c>
    </row>
    <row r="30" spans="1:8" x14ac:dyDescent="0.35">
      <c r="A30" s="10" t="b">
        <v>1</v>
      </c>
      <c r="B30" s="3" t="s">
        <v>401</v>
      </c>
      <c r="C30" s="12">
        <v>2</v>
      </c>
      <c r="D30" s="3" t="s">
        <v>336</v>
      </c>
      <c r="E30" s="3" t="s">
        <v>402</v>
      </c>
      <c r="G30" s="3" t="s">
        <v>404</v>
      </c>
      <c r="H30" s="3" t="s">
        <v>403</v>
      </c>
    </row>
    <row r="31" spans="1:8" x14ac:dyDescent="0.35">
      <c r="A31" s="10" t="b">
        <v>1</v>
      </c>
      <c r="B31" s="3" t="s">
        <v>414</v>
      </c>
      <c r="C31" s="12">
        <v>2</v>
      </c>
      <c r="D31" s="3" t="s">
        <v>336</v>
      </c>
      <c r="E31" s="3" t="s">
        <v>413</v>
      </c>
      <c r="G31" s="3" t="s">
        <v>416</v>
      </c>
      <c r="H31" s="3" t="s">
        <v>415</v>
      </c>
    </row>
    <row r="32" spans="1:8" x14ac:dyDescent="0.35">
      <c r="A32" s="10" t="b">
        <v>1</v>
      </c>
      <c r="B32" s="3" t="s">
        <v>414</v>
      </c>
      <c r="C32" s="12">
        <v>4</v>
      </c>
      <c r="D32" s="3" t="s">
        <v>336</v>
      </c>
      <c r="E32" s="3" t="s">
        <v>423</v>
      </c>
      <c r="G32" s="3" t="s">
        <v>416</v>
      </c>
      <c r="H32" s="3" t="s">
        <v>424</v>
      </c>
    </row>
    <row r="33" spans="1:8" x14ac:dyDescent="0.35">
      <c r="A33" s="10" t="b">
        <v>1</v>
      </c>
      <c r="B33" s="3" t="s">
        <v>209</v>
      </c>
      <c r="C33" s="12">
        <v>16</v>
      </c>
      <c r="D33" s="3" t="s">
        <v>336</v>
      </c>
      <c r="E33" s="3" t="s">
        <v>448</v>
      </c>
    </row>
    <row r="34" spans="1:8" x14ac:dyDescent="0.35">
      <c r="A34" s="10" t="b">
        <v>1</v>
      </c>
      <c r="B34" s="3" t="s">
        <v>449</v>
      </c>
      <c r="C34" s="12">
        <v>12</v>
      </c>
      <c r="D34" s="3" t="s">
        <v>336</v>
      </c>
      <c r="E34" s="3" t="s">
        <v>450</v>
      </c>
      <c r="F34" s="3" t="s">
        <v>455</v>
      </c>
      <c r="G34" s="3" t="s">
        <v>451</v>
      </c>
      <c r="H34" s="3" t="s">
        <v>453</v>
      </c>
    </row>
    <row r="35" spans="1:8" x14ac:dyDescent="0.35">
      <c r="A35" s="10" t="b">
        <v>1</v>
      </c>
      <c r="B35" s="3" t="s">
        <v>449</v>
      </c>
      <c r="C35" s="12">
        <v>12</v>
      </c>
      <c r="D35" s="3" t="s">
        <v>335</v>
      </c>
      <c r="E35" s="3" t="s">
        <v>455</v>
      </c>
      <c r="F35" s="3" t="s">
        <v>450</v>
      </c>
      <c r="G35" s="3" t="s">
        <v>454</v>
      </c>
      <c r="H35" s="3" t="s">
        <v>452</v>
      </c>
    </row>
    <row r="36" spans="1:8" x14ac:dyDescent="0.35">
      <c r="A36" s="10" t="b">
        <v>1</v>
      </c>
      <c r="B36" s="3" t="s">
        <v>449</v>
      </c>
      <c r="C36" s="12">
        <v>20</v>
      </c>
      <c r="D36" s="3" t="s">
        <v>336</v>
      </c>
      <c r="E36" s="3" t="s">
        <v>468</v>
      </c>
      <c r="F36" s="3" t="s">
        <v>467</v>
      </c>
    </row>
    <row r="37" spans="1:8" x14ac:dyDescent="0.35">
      <c r="A37" s="10" t="b">
        <v>1</v>
      </c>
      <c r="B37" s="3" t="s">
        <v>449</v>
      </c>
      <c r="C37" s="12">
        <v>20</v>
      </c>
      <c r="D37" s="3" t="s">
        <v>335</v>
      </c>
      <c r="E37" s="3" t="s">
        <v>467</v>
      </c>
      <c r="F37" s="3" t="s">
        <v>468</v>
      </c>
      <c r="G37" s="3" t="s">
        <v>469</v>
      </c>
    </row>
    <row r="38" spans="1:8" x14ac:dyDescent="0.35">
      <c r="A38" s="10" t="b">
        <v>1</v>
      </c>
      <c r="B38" s="3" t="s">
        <v>449</v>
      </c>
      <c r="C38" s="12">
        <v>30</v>
      </c>
      <c r="D38" s="3" t="s">
        <v>336</v>
      </c>
      <c r="E38" s="3" t="s">
        <v>482</v>
      </c>
      <c r="F38" s="3" t="s">
        <v>483</v>
      </c>
      <c r="H38" s="3" t="s">
        <v>485</v>
      </c>
    </row>
    <row r="39" spans="1:8" x14ac:dyDescent="0.35">
      <c r="A39" s="10" t="b">
        <v>1</v>
      </c>
      <c r="B39" s="3" t="s">
        <v>449</v>
      </c>
      <c r="C39" s="12">
        <v>30</v>
      </c>
      <c r="D39" s="3" t="s">
        <v>335</v>
      </c>
      <c r="E39" s="3" t="s">
        <v>483</v>
      </c>
      <c r="F39" s="3" t="s">
        <v>482</v>
      </c>
      <c r="G39" s="3" t="s">
        <v>469</v>
      </c>
      <c r="H39" s="3" t="s">
        <v>484</v>
      </c>
    </row>
    <row r="40" spans="1:8" x14ac:dyDescent="0.35">
      <c r="A40" s="10" t="b">
        <v>1</v>
      </c>
      <c r="B40" s="3" t="s">
        <v>486</v>
      </c>
      <c r="C40" s="12">
        <v>5</v>
      </c>
      <c r="D40" s="3" t="s">
        <v>336</v>
      </c>
      <c r="E40" s="3" t="s">
        <v>487</v>
      </c>
      <c r="H40" s="3" t="s">
        <v>488</v>
      </c>
    </row>
    <row r="41" spans="1:8" x14ac:dyDescent="0.35">
      <c r="A41" s="10" t="b">
        <v>1</v>
      </c>
      <c r="B41" s="3" t="s">
        <v>502</v>
      </c>
      <c r="C41" s="12">
        <v>1</v>
      </c>
      <c r="D41" s="3" t="s">
        <v>206</v>
      </c>
      <c r="E41" s="3" t="s">
        <v>503</v>
      </c>
      <c r="H41" s="3" t="s">
        <v>504</v>
      </c>
    </row>
    <row r="42" spans="1:8" x14ac:dyDescent="0.35">
      <c r="A42" s="10" t="b">
        <v>1</v>
      </c>
      <c r="B42" s="3" t="s">
        <v>502</v>
      </c>
      <c r="C42" s="12">
        <v>1</v>
      </c>
      <c r="D42" s="3" t="s">
        <v>206</v>
      </c>
      <c r="E42" s="3" t="s">
        <v>505</v>
      </c>
      <c r="H42" s="3" t="s">
        <v>506</v>
      </c>
    </row>
    <row r="43" spans="1:8" x14ac:dyDescent="0.35">
      <c r="A43" s="10" t="b">
        <v>1</v>
      </c>
      <c r="B43" s="3" t="s">
        <v>518</v>
      </c>
      <c r="C43" s="12">
        <v>3</v>
      </c>
      <c r="D43" s="3" t="s">
        <v>336</v>
      </c>
      <c r="E43" s="3" t="s">
        <v>519</v>
      </c>
      <c r="G43" s="3" t="s">
        <v>521</v>
      </c>
      <c r="H43" s="3" t="s">
        <v>520</v>
      </c>
    </row>
    <row r="44" spans="1:8" x14ac:dyDescent="0.35">
      <c r="A44" s="10" t="b">
        <v>0</v>
      </c>
      <c r="C44" s="12"/>
    </row>
    <row r="45" spans="1:8" x14ac:dyDescent="0.35">
      <c r="A45" s="10" t="b">
        <v>0</v>
      </c>
      <c r="C45" s="12"/>
    </row>
    <row r="46" spans="1:8" x14ac:dyDescent="0.35">
      <c r="A46" s="10" t="b">
        <v>0</v>
      </c>
      <c r="C46" s="12"/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201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165</v>
      </c>
      <c r="D3" t="s">
        <v>163</v>
      </c>
      <c r="E3" t="s">
        <v>107</v>
      </c>
      <c r="F3" t="s">
        <v>166</v>
      </c>
      <c r="G3" t="s">
        <v>164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D6" sqref="D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201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</row>
    <row r="4" spans="1:7" x14ac:dyDescent="0.35">
      <c r="A4" s="9" t="b">
        <v>1</v>
      </c>
      <c r="B4" t="s">
        <v>120</v>
      </c>
      <c r="C4" t="s">
        <v>121</v>
      </c>
      <c r="D4" t="s">
        <v>175</v>
      </c>
      <c r="E4" t="s">
        <v>470</v>
      </c>
      <c r="F4" t="s">
        <v>471</v>
      </c>
      <c r="G4" t="s">
        <v>472</v>
      </c>
    </row>
    <row r="5" spans="1:7" x14ac:dyDescent="0.35">
      <c r="A5" s="9" t="b">
        <v>1</v>
      </c>
      <c r="B5" t="s">
        <v>473</v>
      </c>
      <c r="C5" t="s">
        <v>474</v>
      </c>
      <c r="D5" t="s">
        <v>475</v>
      </c>
      <c r="E5" t="s">
        <v>476</v>
      </c>
      <c r="F5" t="s">
        <v>477</v>
      </c>
      <c r="G5" t="s">
        <v>478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201</v>
      </c>
      <c r="B1" s="6" t="s">
        <v>248</v>
      </c>
      <c r="C1" s="6" t="s">
        <v>251</v>
      </c>
      <c r="D1" s="6" t="s">
        <v>87</v>
      </c>
      <c r="E1" s="6" t="s">
        <v>2</v>
      </c>
      <c r="F1" s="6" t="s">
        <v>33</v>
      </c>
    </row>
    <row r="2" spans="1:6" x14ac:dyDescent="0.35">
      <c r="A2" s="9" t="b">
        <v>1</v>
      </c>
      <c r="B2" t="s">
        <v>249</v>
      </c>
      <c r="C2" t="s">
        <v>250</v>
      </c>
      <c r="D2" t="s">
        <v>252</v>
      </c>
      <c r="F2" t="s">
        <v>253</v>
      </c>
    </row>
    <row r="3" spans="1:6" x14ac:dyDescent="0.35">
      <c r="A3" s="9" t="b">
        <v>1</v>
      </c>
      <c r="B3" t="s">
        <v>249</v>
      </c>
      <c r="C3" t="s">
        <v>255</v>
      </c>
      <c r="D3" t="s">
        <v>254</v>
      </c>
      <c r="E3" t="s">
        <v>256</v>
      </c>
      <c r="F3" t="s">
        <v>257</v>
      </c>
    </row>
    <row r="4" spans="1:6" x14ac:dyDescent="0.35">
      <c r="A4" s="9" t="b">
        <v>1</v>
      </c>
      <c r="B4" t="s">
        <v>249</v>
      </c>
      <c r="C4" t="s">
        <v>258</v>
      </c>
      <c r="D4" t="s">
        <v>252</v>
      </c>
      <c r="F4" t="s">
        <v>259</v>
      </c>
    </row>
    <row r="5" spans="1:6" x14ac:dyDescent="0.35">
      <c r="A5" s="9" t="b">
        <v>1</v>
      </c>
      <c r="B5" t="s">
        <v>260</v>
      </c>
      <c r="C5" t="s">
        <v>261</v>
      </c>
      <c r="D5" t="s">
        <v>260</v>
      </c>
      <c r="F5" t="s">
        <v>262</v>
      </c>
    </row>
    <row r="6" spans="1:6" x14ac:dyDescent="0.35">
      <c r="A6" s="9" t="b">
        <v>1</v>
      </c>
      <c r="B6" t="s">
        <v>409</v>
      </c>
      <c r="C6" t="s">
        <v>410</v>
      </c>
      <c r="D6" t="s">
        <v>411</v>
      </c>
      <c r="E6" t="s">
        <v>412</v>
      </c>
    </row>
    <row r="7" spans="1:6" x14ac:dyDescent="0.35">
      <c r="A7" s="9" t="b">
        <v>0</v>
      </c>
      <c r="B7" t="s">
        <v>439</v>
      </c>
      <c r="C7" t="s">
        <v>440</v>
      </c>
      <c r="D7" t="s">
        <v>441</v>
      </c>
      <c r="E7" t="s">
        <v>442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201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195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201</v>
      </c>
      <c r="B1" s="7" t="s">
        <v>87</v>
      </c>
      <c r="C1" s="7" t="s">
        <v>282</v>
      </c>
      <c r="D1" s="7" t="s">
        <v>32</v>
      </c>
      <c r="E1" s="7" t="s">
        <v>3</v>
      </c>
      <c r="F1" s="7" t="s">
        <v>1</v>
      </c>
      <c r="G1" s="7" t="s">
        <v>285</v>
      </c>
      <c r="H1" s="7" t="s">
        <v>288</v>
      </c>
      <c r="I1" s="7" t="s">
        <v>33</v>
      </c>
    </row>
    <row r="2" spans="1:9" x14ac:dyDescent="0.35">
      <c r="A2" s="9" t="b">
        <v>1</v>
      </c>
      <c r="B2" t="s">
        <v>126</v>
      </c>
      <c r="C2" t="s">
        <v>206</v>
      </c>
      <c r="D2" t="s">
        <v>35</v>
      </c>
      <c r="E2">
        <v>1812</v>
      </c>
      <c r="F2" t="s">
        <v>36</v>
      </c>
      <c r="H2" t="s">
        <v>130</v>
      </c>
      <c r="I2" t="s">
        <v>34</v>
      </c>
    </row>
    <row r="3" spans="1:9" x14ac:dyDescent="0.35">
      <c r="A3" s="9" t="b">
        <v>1</v>
      </c>
      <c r="B3" t="s">
        <v>119</v>
      </c>
      <c r="C3" t="s">
        <v>283</v>
      </c>
      <c r="E3" t="s">
        <v>129</v>
      </c>
      <c r="H3" t="s">
        <v>128</v>
      </c>
      <c r="I3" t="s">
        <v>127</v>
      </c>
    </row>
    <row r="4" spans="1:9" x14ac:dyDescent="0.35">
      <c r="A4" s="9" t="b">
        <v>1</v>
      </c>
      <c r="B4" t="s">
        <v>119</v>
      </c>
      <c r="C4" t="s">
        <v>284</v>
      </c>
      <c r="E4" t="s">
        <v>129</v>
      </c>
      <c r="F4" t="s">
        <v>286</v>
      </c>
      <c r="G4" t="s">
        <v>287</v>
      </c>
      <c r="H4">
        <v>3568</v>
      </c>
      <c r="I4" t="s">
        <v>289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E12" sqref="E12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201</v>
      </c>
      <c r="B1" t="s">
        <v>82</v>
      </c>
      <c r="C1" t="s">
        <v>212</v>
      </c>
      <c r="D1" t="s">
        <v>2</v>
      </c>
      <c r="E1" t="s">
        <v>33</v>
      </c>
    </row>
    <row r="2" spans="1:5" x14ac:dyDescent="0.35">
      <c r="A2" s="9" t="b">
        <v>1</v>
      </c>
      <c r="B2" t="s">
        <v>216</v>
      </c>
      <c r="D2" t="s">
        <v>171</v>
      </c>
      <c r="E2" t="s">
        <v>172</v>
      </c>
    </row>
    <row r="3" spans="1:5" x14ac:dyDescent="0.35">
      <c r="A3" s="9" t="b">
        <v>1</v>
      </c>
      <c r="B3" t="s">
        <v>312</v>
      </c>
      <c r="D3" t="s">
        <v>311</v>
      </c>
      <c r="E3" t="s">
        <v>313</v>
      </c>
    </row>
    <row r="4" spans="1:5" x14ac:dyDescent="0.35">
      <c r="A4" s="9" t="b">
        <v>1</v>
      </c>
      <c r="B4" t="s">
        <v>83</v>
      </c>
      <c r="C4" t="s">
        <v>213</v>
      </c>
      <c r="D4" t="s">
        <v>80</v>
      </c>
      <c r="E4" t="s">
        <v>81</v>
      </c>
    </row>
    <row r="5" spans="1:5" x14ac:dyDescent="0.35">
      <c r="A5" s="9" t="b">
        <v>1</v>
      </c>
      <c r="B5" s="4" t="s">
        <v>215</v>
      </c>
      <c r="C5" s="4" t="s">
        <v>214</v>
      </c>
      <c r="D5" t="s">
        <v>94</v>
      </c>
      <c r="E5" t="s">
        <v>95</v>
      </c>
    </row>
    <row r="6" spans="1:5" x14ac:dyDescent="0.35">
      <c r="A6" s="9" t="b">
        <v>1</v>
      </c>
      <c r="B6" t="s">
        <v>341</v>
      </c>
      <c r="C6" t="s">
        <v>342</v>
      </c>
      <c r="D6" t="s">
        <v>343</v>
      </c>
      <c r="E6" t="s">
        <v>344</v>
      </c>
    </row>
    <row r="7" spans="1:5" x14ac:dyDescent="0.35">
      <c r="A7" s="9" t="b">
        <v>1</v>
      </c>
      <c r="B7" t="s">
        <v>319</v>
      </c>
      <c r="C7" t="s">
        <v>320</v>
      </c>
      <c r="D7" t="s">
        <v>321</v>
      </c>
      <c r="E7" t="s">
        <v>322</v>
      </c>
    </row>
    <row r="8" spans="1:5" x14ac:dyDescent="0.35">
      <c r="A8" s="9" t="b">
        <v>1</v>
      </c>
      <c r="B8" t="s">
        <v>327</v>
      </c>
      <c r="C8" t="s">
        <v>328</v>
      </c>
      <c r="D8" t="s">
        <v>329</v>
      </c>
      <c r="E8" t="s">
        <v>330</v>
      </c>
    </row>
    <row r="9" spans="1:5" x14ac:dyDescent="0.35">
      <c r="A9" s="9" t="b">
        <v>1</v>
      </c>
      <c r="B9" t="s">
        <v>83</v>
      </c>
      <c r="C9" t="s">
        <v>385</v>
      </c>
      <c r="D9" t="s">
        <v>386</v>
      </c>
      <c r="E9" t="s">
        <v>387</v>
      </c>
    </row>
    <row r="10" spans="1:5" x14ac:dyDescent="0.35">
      <c r="A10" s="9" t="b">
        <v>1</v>
      </c>
      <c r="B10" t="s">
        <v>425</v>
      </c>
      <c r="C10" t="s">
        <v>428</v>
      </c>
      <c r="D10" t="s">
        <v>426</v>
      </c>
      <c r="E10" t="s">
        <v>427</v>
      </c>
    </row>
    <row r="11" spans="1:5" x14ac:dyDescent="0.35">
      <c r="A11" s="9" t="b">
        <v>1</v>
      </c>
      <c r="B11" t="s">
        <v>479</v>
      </c>
      <c r="D11" t="s">
        <v>480</v>
      </c>
      <c r="E11" t="s">
        <v>481</v>
      </c>
    </row>
    <row r="12" spans="1:5" x14ac:dyDescent="0.35">
      <c r="A12" s="9" t="b">
        <v>0</v>
      </c>
      <c r="B12" t="s">
        <v>514</v>
      </c>
      <c r="C12" t="s">
        <v>515</v>
      </c>
      <c r="D12" t="s">
        <v>516</v>
      </c>
      <c r="E12" t="s">
        <v>517</v>
      </c>
    </row>
    <row r="13" spans="1:5" x14ac:dyDescent="0.35">
      <c r="A13" s="9" t="b">
        <v>0</v>
      </c>
    </row>
    <row r="14" spans="1:5" x14ac:dyDescent="0.35">
      <c r="A14" s="9" t="b">
        <v>0</v>
      </c>
    </row>
    <row r="15" spans="1:5" x14ac:dyDescent="0.35">
      <c r="A15" s="9" t="b">
        <v>0</v>
      </c>
    </row>
    <row r="16" spans="1:5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201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218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217</v>
      </c>
      <c r="D3" s="3" t="s">
        <v>131</v>
      </c>
      <c r="E3" s="3" t="s">
        <v>132</v>
      </c>
    </row>
    <row r="4" spans="1:5" x14ac:dyDescent="0.35">
      <c r="A4" s="10" t="b">
        <v>1</v>
      </c>
      <c r="B4" s="3" t="s">
        <v>307</v>
      </c>
      <c r="C4" s="3" t="s">
        <v>308</v>
      </c>
      <c r="D4" s="3" t="s">
        <v>309</v>
      </c>
      <c r="E4" s="3" t="s">
        <v>310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workbookViewId="0">
      <selection activeCell="A10" sqref="A10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201</v>
      </c>
      <c r="B1" t="s">
        <v>87</v>
      </c>
      <c r="C1" t="s">
        <v>20</v>
      </c>
      <c r="D1" t="s">
        <v>196</v>
      </c>
      <c r="E1" s="3" t="s">
        <v>3</v>
      </c>
      <c r="F1" t="s">
        <v>22</v>
      </c>
      <c r="G1" t="s">
        <v>2</v>
      </c>
      <c r="H1" t="s">
        <v>33</v>
      </c>
    </row>
    <row r="2" spans="1:8" x14ac:dyDescent="0.35">
      <c r="A2" s="9" t="b">
        <v>1</v>
      </c>
      <c r="B2" t="s">
        <v>364</v>
      </c>
      <c r="C2" t="s">
        <v>21</v>
      </c>
      <c r="D2" t="s">
        <v>107</v>
      </c>
      <c r="E2" s="3" t="s">
        <v>25</v>
      </c>
      <c r="F2" t="s">
        <v>23</v>
      </c>
      <c r="G2" t="s">
        <v>24</v>
      </c>
    </row>
    <row r="3" spans="1:8" x14ac:dyDescent="0.35">
      <c r="A3" s="9" t="b">
        <v>1</v>
      </c>
      <c r="B3" t="s">
        <v>364</v>
      </c>
      <c r="C3" t="s">
        <v>26</v>
      </c>
      <c r="D3" t="s">
        <v>107</v>
      </c>
      <c r="E3" s="3" t="s">
        <v>25</v>
      </c>
      <c r="F3" t="s">
        <v>23</v>
      </c>
      <c r="G3" t="s">
        <v>27</v>
      </c>
    </row>
    <row r="4" spans="1:8" x14ac:dyDescent="0.35">
      <c r="A4" s="9" t="b">
        <v>1</v>
      </c>
      <c r="B4" t="s">
        <v>364</v>
      </c>
      <c r="C4" t="s">
        <v>28</v>
      </c>
      <c r="D4" t="s">
        <v>107</v>
      </c>
      <c r="E4" s="3" t="s">
        <v>25</v>
      </c>
      <c r="F4" t="s">
        <v>23</v>
      </c>
      <c r="G4" t="s">
        <v>29</v>
      </c>
    </row>
    <row r="5" spans="1:8" x14ac:dyDescent="0.35">
      <c r="A5" s="9" t="b">
        <v>1</v>
      </c>
      <c r="B5" t="s">
        <v>364</v>
      </c>
      <c r="C5" t="s">
        <v>31</v>
      </c>
      <c r="D5" t="s">
        <v>107</v>
      </c>
      <c r="E5" s="3" t="s">
        <v>25</v>
      </c>
      <c r="F5" t="s">
        <v>23</v>
      </c>
      <c r="G5" t="s">
        <v>30</v>
      </c>
    </row>
    <row r="6" spans="1:8" x14ac:dyDescent="0.35">
      <c r="A6" s="9" t="b">
        <v>1</v>
      </c>
      <c r="B6" t="s">
        <v>364</v>
      </c>
      <c r="C6" t="s">
        <v>21</v>
      </c>
      <c r="D6" t="s">
        <v>129</v>
      </c>
      <c r="E6" s="3" t="s">
        <v>359</v>
      </c>
      <c r="F6" t="s">
        <v>23</v>
      </c>
      <c r="G6" t="s">
        <v>360</v>
      </c>
    </row>
    <row r="7" spans="1:8" x14ac:dyDescent="0.35">
      <c r="A7" s="9" t="b">
        <v>1</v>
      </c>
      <c r="B7" t="s">
        <v>363</v>
      </c>
      <c r="C7" t="s">
        <v>367</v>
      </c>
      <c r="D7" t="s">
        <v>107</v>
      </c>
      <c r="E7" s="3" t="s">
        <v>365</v>
      </c>
      <c r="F7" t="s">
        <v>366</v>
      </c>
      <c r="G7">
        <v>16347</v>
      </c>
      <c r="H7" t="s">
        <v>368</v>
      </c>
    </row>
    <row r="8" spans="1:8" x14ac:dyDescent="0.35">
      <c r="A8" s="9" t="b">
        <v>1</v>
      </c>
      <c r="B8" t="s">
        <v>364</v>
      </c>
      <c r="C8" t="s">
        <v>28</v>
      </c>
      <c r="D8" t="s">
        <v>129</v>
      </c>
      <c r="E8" s="3" t="s">
        <v>359</v>
      </c>
      <c r="F8" t="s">
        <v>23</v>
      </c>
      <c r="G8" t="s">
        <v>417</v>
      </c>
    </row>
    <row r="9" spans="1:8" x14ac:dyDescent="0.35">
      <c r="A9" s="9" t="b">
        <v>1</v>
      </c>
      <c r="B9" t="s">
        <v>364</v>
      </c>
      <c r="C9" t="s">
        <v>421</v>
      </c>
      <c r="D9" t="s">
        <v>129</v>
      </c>
      <c r="E9" s="3" t="s">
        <v>359</v>
      </c>
      <c r="F9" t="s">
        <v>23</v>
      </c>
      <c r="G9" t="s">
        <v>422</v>
      </c>
    </row>
    <row r="10" spans="1:8" x14ac:dyDescent="0.35">
      <c r="A10" s="9" t="b">
        <v>1</v>
      </c>
      <c r="B10" t="s">
        <v>364</v>
      </c>
      <c r="C10" t="s">
        <v>26</v>
      </c>
      <c r="D10" t="s">
        <v>129</v>
      </c>
      <c r="E10" s="3" t="s">
        <v>359</v>
      </c>
      <c r="F10" t="s">
        <v>23</v>
      </c>
      <c r="G10" t="s">
        <v>438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201</v>
      </c>
      <c r="B1" s="20" t="s">
        <v>275</v>
      </c>
      <c r="C1" s="20" t="s">
        <v>274</v>
      </c>
      <c r="D1" s="20" t="s">
        <v>276</v>
      </c>
      <c r="E1" s="20" t="s">
        <v>273</v>
      </c>
      <c r="F1" s="20" t="s">
        <v>2</v>
      </c>
      <c r="G1" s="20" t="s">
        <v>33</v>
      </c>
    </row>
    <row r="2" spans="1:7" x14ac:dyDescent="0.35">
      <c r="A2" s="9" t="b">
        <v>1</v>
      </c>
      <c r="B2" t="s">
        <v>278</v>
      </c>
      <c r="C2" t="s">
        <v>279</v>
      </c>
      <c r="D2" t="s">
        <v>221</v>
      </c>
      <c r="E2" t="s">
        <v>277</v>
      </c>
      <c r="F2" t="s">
        <v>280</v>
      </c>
      <c r="G2" t="s">
        <v>281</v>
      </c>
    </row>
    <row r="3" spans="1:7" x14ac:dyDescent="0.35">
      <c r="A3" s="9" t="b">
        <v>1</v>
      </c>
      <c r="B3" s="4" t="s">
        <v>457</v>
      </c>
      <c r="C3" s="4" t="s">
        <v>456</v>
      </c>
      <c r="D3" s="4" t="s">
        <v>458</v>
      </c>
      <c r="E3" s="4" t="s">
        <v>459</v>
      </c>
      <c r="F3" t="s">
        <v>460</v>
      </c>
      <c r="G3" t="s">
        <v>461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D7" sqref="D7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201</v>
      </c>
      <c r="B1" t="s">
        <v>82</v>
      </c>
      <c r="C1" t="s">
        <v>2</v>
      </c>
      <c r="D1" t="s">
        <v>33</v>
      </c>
    </row>
    <row r="2" spans="1:4" x14ac:dyDescent="0.35">
      <c r="A2" s="9" t="b">
        <v>1</v>
      </c>
      <c r="B2" t="s">
        <v>237</v>
      </c>
      <c r="C2" t="s">
        <v>238</v>
      </c>
      <c r="D2" t="s">
        <v>239</v>
      </c>
    </row>
    <row r="3" spans="1:4" x14ac:dyDescent="0.35">
      <c r="A3" s="9" t="b">
        <v>1</v>
      </c>
      <c r="B3" t="s">
        <v>263</v>
      </c>
      <c r="C3" t="s">
        <v>206</v>
      </c>
      <c r="D3" t="s">
        <v>236</v>
      </c>
    </row>
    <row r="4" spans="1:4" x14ac:dyDescent="0.35">
      <c r="A4" s="9" t="b">
        <v>1</v>
      </c>
      <c r="B4" t="s">
        <v>136</v>
      </c>
      <c r="C4" t="s">
        <v>137</v>
      </c>
      <c r="D4" t="s">
        <v>138</v>
      </c>
    </row>
    <row r="5" spans="1:4" x14ac:dyDescent="0.35">
      <c r="A5" s="9" t="b">
        <v>1</v>
      </c>
      <c r="B5" t="s">
        <v>136</v>
      </c>
      <c r="C5" t="s">
        <v>264</v>
      </c>
      <c r="D5" t="s">
        <v>265</v>
      </c>
    </row>
    <row r="6" spans="1:4" x14ac:dyDescent="0.35">
      <c r="A6" s="9" t="b">
        <v>1</v>
      </c>
      <c r="B6" t="s">
        <v>382</v>
      </c>
      <c r="C6" t="s">
        <v>383</v>
      </c>
      <c r="D6" t="s">
        <v>384</v>
      </c>
    </row>
    <row r="7" spans="1:4" x14ac:dyDescent="0.35">
      <c r="A7" s="9" t="b">
        <v>1</v>
      </c>
      <c r="B7" t="s">
        <v>507</v>
      </c>
      <c r="C7" t="s">
        <v>508</v>
      </c>
      <c r="D7" t="s">
        <v>509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201</v>
      </c>
      <c r="B1" s="23" t="s">
        <v>87</v>
      </c>
      <c r="C1" s="23" t="s">
        <v>84</v>
      </c>
      <c r="D1" s="23" t="s">
        <v>491</v>
      </c>
      <c r="E1" s="23" t="s">
        <v>493</v>
      </c>
      <c r="F1" s="23" t="s">
        <v>495</v>
      </c>
      <c r="G1" s="23" t="s">
        <v>496</v>
      </c>
      <c r="H1" s="23" t="s">
        <v>33</v>
      </c>
    </row>
    <row r="2" spans="1:8" x14ac:dyDescent="0.35">
      <c r="A2" s="10" t="b">
        <v>1</v>
      </c>
      <c r="B2" s="3" t="s">
        <v>119</v>
      </c>
      <c r="C2" s="3" t="s">
        <v>263</v>
      </c>
      <c r="D2" s="3" t="s">
        <v>492</v>
      </c>
      <c r="E2" s="3" t="s">
        <v>494</v>
      </c>
      <c r="F2" s="3" t="s">
        <v>497</v>
      </c>
      <c r="G2" s="3" t="s">
        <v>497</v>
      </c>
      <c r="H2" s="3" t="s">
        <v>501</v>
      </c>
    </row>
    <row r="3" spans="1:8" x14ac:dyDescent="0.35">
      <c r="A3" s="10" t="b">
        <v>1</v>
      </c>
      <c r="B3" s="3" t="s">
        <v>489</v>
      </c>
      <c r="C3" s="3" t="s">
        <v>490</v>
      </c>
      <c r="D3" s="3" t="s">
        <v>492</v>
      </c>
      <c r="E3" s="3" t="s">
        <v>498</v>
      </c>
      <c r="F3" s="3" t="s">
        <v>499</v>
      </c>
      <c r="G3" s="3" t="s">
        <v>499</v>
      </c>
      <c r="H3" s="3" t="s">
        <v>500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201</v>
      </c>
      <c r="B1" s="14" t="s">
        <v>84</v>
      </c>
      <c r="C1" s="14" t="s">
        <v>219</v>
      </c>
      <c r="D1" s="14" t="s">
        <v>222</v>
      </c>
      <c r="E1" s="14" t="s">
        <v>221</v>
      </c>
      <c r="F1" s="14" t="s">
        <v>223</v>
      </c>
      <c r="G1" s="14" t="s">
        <v>224</v>
      </c>
      <c r="H1" s="14" t="s">
        <v>225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220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226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1" zoomScale="118" workbookViewId="0">
      <selection activeCell="B24" sqref="B24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201</v>
      </c>
      <c r="B1" s="8" t="s">
        <v>45</v>
      </c>
      <c r="C1" s="8" t="s">
        <v>227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8" t="b">
        <v>1</v>
      </c>
      <c r="B2" s="15">
        <v>27</v>
      </c>
      <c r="C2" s="17">
        <f t="shared" ref="C2:C33" si="0">IF(ISNUMBER(B2),
IF(B2=0,"",B2),
VALUE(LEFT(B2,LEN(B2)-1))*
IF(RIGHT(B2,1)="k",1000,
IF(RIGHT(B2,1)="M",1000000,
IF(RIGHT(B2,1)="m",0.001,1))))</f>
        <v>27</v>
      </c>
      <c r="D2" s="16" t="s">
        <v>54</v>
      </c>
      <c r="E2" s="16" t="s">
        <v>9</v>
      </c>
      <c r="F2" s="16" t="s">
        <v>197</v>
      </c>
      <c r="G2" s="16" t="s">
        <v>57</v>
      </c>
      <c r="H2" s="16" t="s">
        <v>58</v>
      </c>
    </row>
    <row r="3" spans="1:8" x14ac:dyDescent="0.35">
      <c r="A3" s="18" t="b">
        <v>1</v>
      </c>
      <c r="B3" s="15">
        <v>33</v>
      </c>
      <c r="C3" s="17">
        <f t="shared" si="0"/>
        <v>33</v>
      </c>
      <c r="D3" s="16" t="s">
        <v>66</v>
      </c>
      <c r="E3" s="16" t="s">
        <v>9</v>
      </c>
      <c r="F3" s="16" t="s">
        <v>67</v>
      </c>
      <c r="G3" s="16" t="s">
        <v>64</v>
      </c>
      <c r="H3" s="16" t="s">
        <v>65</v>
      </c>
    </row>
    <row r="4" spans="1:8" x14ac:dyDescent="0.35">
      <c r="A4" s="18" t="b">
        <v>1</v>
      </c>
      <c r="B4" s="15">
        <v>100</v>
      </c>
      <c r="C4" s="17">
        <f t="shared" si="0"/>
        <v>100</v>
      </c>
      <c r="D4" s="16" t="s">
        <v>54</v>
      </c>
      <c r="E4" s="16" t="s">
        <v>9</v>
      </c>
      <c r="F4" s="16" t="s">
        <v>197</v>
      </c>
      <c r="G4" s="16" t="s">
        <v>240</v>
      </c>
      <c r="H4" s="16" t="s">
        <v>241</v>
      </c>
    </row>
    <row r="5" spans="1:8" x14ac:dyDescent="0.35">
      <c r="A5" s="18" t="b">
        <v>1</v>
      </c>
      <c r="B5" s="15">
        <v>220</v>
      </c>
      <c r="C5" s="17">
        <f t="shared" si="0"/>
        <v>220</v>
      </c>
      <c r="D5" s="16" t="s">
        <v>54</v>
      </c>
      <c r="E5" s="16" t="s">
        <v>9</v>
      </c>
      <c r="F5" s="16" t="s">
        <v>197</v>
      </c>
      <c r="G5" s="16" t="s">
        <v>63</v>
      </c>
      <c r="H5" s="16" t="s">
        <v>62</v>
      </c>
    </row>
    <row r="6" spans="1:8" x14ac:dyDescent="0.35">
      <c r="A6" s="18" t="b">
        <v>1</v>
      </c>
      <c r="B6" s="15">
        <v>220</v>
      </c>
      <c r="C6" s="17">
        <f t="shared" si="0"/>
        <v>220</v>
      </c>
      <c r="D6" s="16" t="s">
        <v>54</v>
      </c>
      <c r="E6" s="16" t="s">
        <v>25</v>
      </c>
      <c r="F6" s="16" t="s">
        <v>141</v>
      </c>
      <c r="G6" s="16" t="s">
        <v>168</v>
      </c>
      <c r="H6" s="16" t="s">
        <v>167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140</v>
      </c>
      <c r="E7" s="16" t="s">
        <v>129</v>
      </c>
      <c r="F7" s="16" t="s">
        <v>266</v>
      </c>
      <c r="G7" s="16" t="s">
        <v>361</v>
      </c>
      <c r="H7" s="16" t="s">
        <v>362</v>
      </c>
    </row>
    <row r="8" spans="1:8" x14ac:dyDescent="0.35">
      <c r="A8" s="18" t="b">
        <v>1</v>
      </c>
      <c r="B8" s="15" t="s">
        <v>61</v>
      </c>
      <c r="C8" s="17">
        <f t="shared" si="0"/>
        <v>1000</v>
      </c>
      <c r="D8" s="16" t="s">
        <v>54</v>
      </c>
      <c r="E8" s="16" t="s">
        <v>9</v>
      </c>
      <c r="F8" s="16" t="s">
        <v>197</v>
      </c>
      <c r="G8" s="16" t="s">
        <v>59</v>
      </c>
      <c r="H8" s="16" t="s">
        <v>60</v>
      </c>
    </row>
    <row r="9" spans="1:8" x14ac:dyDescent="0.35">
      <c r="A9" s="18" t="b">
        <v>1</v>
      </c>
      <c r="B9" s="15" t="s">
        <v>61</v>
      </c>
      <c r="C9" s="17">
        <f t="shared" si="0"/>
        <v>1000</v>
      </c>
      <c r="D9" s="16" t="s">
        <v>66</v>
      </c>
      <c r="E9" s="16" t="s">
        <v>25</v>
      </c>
      <c r="F9" s="16" t="s">
        <v>197</v>
      </c>
      <c r="G9" s="16" t="s">
        <v>134</v>
      </c>
      <c r="H9" s="16" t="s">
        <v>135</v>
      </c>
    </row>
    <row r="10" spans="1:8" x14ac:dyDescent="0.35">
      <c r="A10" s="18" t="b">
        <v>1</v>
      </c>
      <c r="B10" s="15" t="s">
        <v>70</v>
      </c>
      <c r="C10" s="17">
        <f t="shared" si="0"/>
        <v>2000</v>
      </c>
      <c r="D10" s="16" t="s">
        <v>71</v>
      </c>
      <c r="E10" s="16" t="s">
        <v>9</v>
      </c>
      <c r="F10" s="16" t="s">
        <v>197</v>
      </c>
      <c r="G10" s="16" t="s">
        <v>68</v>
      </c>
      <c r="H10" s="16" t="s">
        <v>69</v>
      </c>
    </row>
    <row r="11" spans="1:8" x14ac:dyDescent="0.35">
      <c r="A11" s="18" t="b">
        <v>1</v>
      </c>
      <c r="B11" s="15" t="s">
        <v>374</v>
      </c>
      <c r="C11" s="17">
        <f t="shared" si="0"/>
        <v>3300</v>
      </c>
      <c r="D11" s="16" t="s">
        <v>54</v>
      </c>
      <c r="E11" s="16" t="s">
        <v>9</v>
      </c>
      <c r="F11" s="16" t="s">
        <v>197</v>
      </c>
      <c r="G11" s="16" t="s">
        <v>375</v>
      </c>
      <c r="H11" s="16" t="s">
        <v>376</v>
      </c>
    </row>
    <row r="12" spans="1:8" x14ac:dyDescent="0.35">
      <c r="A12" s="18" t="b">
        <v>1</v>
      </c>
      <c r="B12" s="15" t="s">
        <v>53</v>
      </c>
      <c r="C12" s="17">
        <f t="shared" si="0"/>
        <v>5100</v>
      </c>
      <c r="D12" s="16" t="s">
        <v>54</v>
      </c>
      <c r="E12" s="16" t="s">
        <v>9</v>
      </c>
      <c r="F12" s="16" t="s">
        <v>197</v>
      </c>
      <c r="G12" s="16" t="s">
        <v>55</v>
      </c>
      <c r="H12" s="16" t="s">
        <v>56</v>
      </c>
    </row>
    <row r="13" spans="1:8" x14ac:dyDescent="0.35">
      <c r="A13" s="18" t="b">
        <v>1</v>
      </c>
      <c r="B13" s="15" t="s">
        <v>139</v>
      </c>
      <c r="C13" s="17">
        <f t="shared" si="0"/>
        <v>10000</v>
      </c>
      <c r="D13" s="16" t="s">
        <v>140</v>
      </c>
      <c r="E13" s="16" t="s">
        <v>25</v>
      </c>
      <c r="F13" s="16" t="s">
        <v>141</v>
      </c>
      <c r="G13" s="16" t="s">
        <v>142</v>
      </c>
      <c r="H13" s="16" t="s">
        <v>143</v>
      </c>
    </row>
    <row r="14" spans="1:8" x14ac:dyDescent="0.35">
      <c r="A14" s="18" t="b">
        <v>1</v>
      </c>
      <c r="B14" s="15" t="s">
        <v>139</v>
      </c>
      <c r="C14" s="17">
        <f t="shared" si="0"/>
        <v>10000</v>
      </c>
      <c r="D14" s="16" t="s">
        <v>54</v>
      </c>
      <c r="E14" s="16" t="s">
        <v>9</v>
      </c>
      <c r="F14" s="16" t="s">
        <v>197</v>
      </c>
      <c r="G14" s="16" t="s">
        <v>394</v>
      </c>
      <c r="H14" s="16" t="s">
        <v>395</v>
      </c>
    </row>
    <row r="15" spans="1:8" x14ac:dyDescent="0.35">
      <c r="A15" s="18" t="b">
        <v>1</v>
      </c>
      <c r="B15" s="15" t="s">
        <v>331</v>
      </c>
      <c r="C15" s="17">
        <f t="shared" si="0"/>
        <v>47000</v>
      </c>
      <c r="D15" s="16" t="s">
        <v>54</v>
      </c>
      <c r="E15" s="16" t="s">
        <v>9</v>
      </c>
      <c r="F15" s="16" t="s">
        <v>197</v>
      </c>
      <c r="G15" s="16" t="s">
        <v>332</v>
      </c>
      <c r="H15" s="16" t="s">
        <v>333</v>
      </c>
    </row>
    <row r="16" spans="1:8" x14ac:dyDescent="0.35">
      <c r="A16" s="18" t="b">
        <v>1</v>
      </c>
      <c r="B16" s="15" t="s">
        <v>144</v>
      </c>
      <c r="C16" s="17">
        <f t="shared" si="0"/>
        <v>52300</v>
      </c>
      <c r="D16" s="16" t="s">
        <v>54</v>
      </c>
      <c r="E16" s="16" t="s">
        <v>25</v>
      </c>
      <c r="F16" s="16" t="s">
        <v>141</v>
      </c>
      <c r="G16" s="16" t="s">
        <v>145</v>
      </c>
      <c r="H16" s="16" t="s">
        <v>146</v>
      </c>
    </row>
    <row r="17" spans="1:8" x14ac:dyDescent="0.35">
      <c r="A17" s="18" t="b">
        <v>1</v>
      </c>
      <c r="B17" s="15" t="s">
        <v>269</v>
      </c>
      <c r="C17" s="17">
        <f t="shared" si="0"/>
        <v>100000</v>
      </c>
      <c r="D17" s="16" t="s">
        <v>54</v>
      </c>
      <c r="E17" s="16" t="s">
        <v>129</v>
      </c>
      <c r="F17" s="16" t="s">
        <v>266</v>
      </c>
      <c r="G17" s="16" t="s">
        <v>267</v>
      </c>
      <c r="H17" s="16" t="s">
        <v>268</v>
      </c>
    </row>
    <row r="18" spans="1:8" x14ac:dyDescent="0.35">
      <c r="A18" s="18" t="b">
        <v>1</v>
      </c>
      <c r="B18" s="15" t="s">
        <v>293</v>
      </c>
      <c r="C18" s="17">
        <f t="shared" si="0"/>
        <v>680000</v>
      </c>
      <c r="D18" s="16" t="s">
        <v>140</v>
      </c>
      <c r="E18" s="16" t="s">
        <v>129</v>
      </c>
      <c r="F18" s="16" t="s">
        <v>291</v>
      </c>
      <c r="G18" s="16" t="s">
        <v>294</v>
      </c>
      <c r="H18" s="16" t="s">
        <v>296</v>
      </c>
    </row>
    <row r="19" spans="1:8" x14ac:dyDescent="0.35">
      <c r="A19" s="18" t="b">
        <v>1</v>
      </c>
      <c r="B19" s="15" t="s">
        <v>290</v>
      </c>
      <c r="C19" s="17">
        <f t="shared" si="0"/>
        <v>1000000</v>
      </c>
      <c r="D19" s="16" t="s">
        <v>140</v>
      </c>
      <c r="E19" s="16" t="s">
        <v>129</v>
      </c>
      <c r="F19" s="16" t="s">
        <v>291</v>
      </c>
      <c r="G19" s="16" t="s">
        <v>292</v>
      </c>
      <c r="H19" s="16" t="s">
        <v>295</v>
      </c>
    </row>
    <row r="20" spans="1:8" x14ac:dyDescent="0.35">
      <c r="A20" s="18" t="b">
        <v>1</v>
      </c>
      <c r="B20" s="15" t="s">
        <v>290</v>
      </c>
      <c r="C20" s="17">
        <f t="shared" si="0"/>
        <v>1000000</v>
      </c>
      <c r="D20" s="16" t="s">
        <v>54</v>
      </c>
      <c r="E20" s="16" t="s">
        <v>9</v>
      </c>
      <c r="F20" s="16" t="s">
        <v>197</v>
      </c>
      <c r="G20" s="16" t="s">
        <v>325</v>
      </c>
      <c r="H20" s="16" t="s">
        <v>326</v>
      </c>
    </row>
    <row r="21" spans="1:8" x14ac:dyDescent="0.35">
      <c r="A21" s="18" t="b">
        <v>1</v>
      </c>
      <c r="B21" s="15" t="s">
        <v>388</v>
      </c>
      <c r="C21" s="17">
        <f t="shared" si="0"/>
        <v>200000</v>
      </c>
      <c r="D21" s="16" t="s">
        <v>140</v>
      </c>
      <c r="E21" s="16" t="s">
        <v>9</v>
      </c>
      <c r="F21" s="16" t="s">
        <v>197</v>
      </c>
      <c r="G21" s="16" t="s">
        <v>389</v>
      </c>
      <c r="H21" s="16" t="s">
        <v>390</v>
      </c>
    </row>
    <row r="22" spans="1:8" x14ac:dyDescent="0.35">
      <c r="A22" s="18" t="b">
        <v>1</v>
      </c>
      <c r="B22" s="15" t="s">
        <v>391</v>
      </c>
      <c r="C22" s="17">
        <f t="shared" si="0"/>
        <v>300000</v>
      </c>
      <c r="D22" s="16" t="s">
        <v>54</v>
      </c>
      <c r="E22" s="16" t="s">
        <v>9</v>
      </c>
      <c r="F22" s="16" t="s">
        <v>141</v>
      </c>
      <c r="G22" s="16" t="s">
        <v>392</v>
      </c>
      <c r="H22" s="16" t="s">
        <v>393</v>
      </c>
    </row>
    <row r="23" spans="1:8" x14ac:dyDescent="0.35">
      <c r="A23" s="18" t="b">
        <v>1</v>
      </c>
      <c r="B23" s="15">
        <v>10</v>
      </c>
      <c r="C23" s="17">
        <f t="shared" si="0"/>
        <v>10</v>
      </c>
      <c r="D23" s="16" t="s">
        <v>140</v>
      </c>
      <c r="E23" s="16" t="s">
        <v>129</v>
      </c>
      <c r="F23" s="16" t="s">
        <v>266</v>
      </c>
      <c r="G23" s="16" t="s">
        <v>431</v>
      </c>
      <c r="H23" s="16" t="s">
        <v>432</v>
      </c>
    </row>
    <row r="24" spans="1:8" x14ac:dyDescent="0.35">
      <c r="A24" s="18" t="b">
        <v>1</v>
      </c>
      <c r="B24" s="15" t="s">
        <v>443</v>
      </c>
      <c r="C24" s="17">
        <f t="shared" si="0"/>
        <v>15000</v>
      </c>
      <c r="D24" s="16" t="s">
        <v>54</v>
      </c>
      <c r="E24" s="16" t="s">
        <v>9</v>
      </c>
      <c r="F24" s="16" t="s">
        <v>141</v>
      </c>
      <c r="G24" s="16" t="s">
        <v>444</v>
      </c>
      <c r="H24" s="16" t="s">
        <v>445</v>
      </c>
    </row>
    <row r="25" spans="1:8" x14ac:dyDescent="0.35">
      <c r="A25" s="18" t="b">
        <v>1</v>
      </c>
      <c r="B25" s="15">
        <v>680</v>
      </c>
      <c r="C25" s="17">
        <f t="shared" si="0"/>
        <v>680</v>
      </c>
      <c r="D25" s="16" t="s">
        <v>54</v>
      </c>
      <c r="E25" s="16" t="s">
        <v>9</v>
      </c>
      <c r="F25" s="16" t="s">
        <v>141</v>
      </c>
      <c r="G25" s="16" t="s">
        <v>446</v>
      </c>
      <c r="H25" s="16" t="s">
        <v>447</v>
      </c>
    </row>
    <row r="26" spans="1:8" x14ac:dyDescent="0.35">
      <c r="A26" s="18" t="b">
        <v>1</v>
      </c>
      <c r="B26" s="15" t="s">
        <v>464</v>
      </c>
      <c r="C26" s="17">
        <f t="shared" si="0"/>
        <v>1500</v>
      </c>
      <c r="D26" s="16" t="s">
        <v>54</v>
      </c>
      <c r="E26" s="16" t="s">
        <v>9</v>
      </c>
      <c r="F26" s="16" t="s">
        <v>197</v>
      </c>
      <c r="G26" s="16" t="s">
        <v>465</v>
      </c>
      <c r="H26" s="16" t="s">
        <v>466</v>
      </c>
    </row>
    <row r="27" spans="1:8" x14ac:dyDescent="0.35">
      <c r="A27" s="18" t="b">
        <v>0</v>
      </c>
      <c r="B27" s="15">
        <v>0</v>
      </c>
      <c r="C27" s="17" t="str">
        <f t="shared" si="0"/>
        <v/>
      </c>
      <c r="D27" s="16"/>
      <c r="E27" s="16"/>
      <c r="F27" s="16"/>
      <c r="G27" s="16"/>
      <c r="H27" s="16"/>
    </row>
    <row r="28" spans="1:8" x14ac:dyDescent="0.35">
      <c r="A28" s="18" t="b">
        <v>0</v>
      </c>
      <c r="B28" s="15">
        <v>0</v>
      </c>
      <c r="C28" s="17" t="str">
        <f t="shared" si="0"/>
        <v/>
      </c>
      <c r="D28" s="16"/>
      <c r="E28" s="16"/>
      <c r="F28" s="16"/>
      <c r="G28" s="16"/>
      <c r="H28" s="16"/>
    </row>
    <row r="29" spans="1:8" x14ac:dyDescent="0.35">
      <c r="A29" s="18" t="b">
        <v>0</v>
      </c>
      <c r="B29" s="15">
        <v>0</v>
      </c>
      <c r="C29" s="17" t="str">
        <f t="shared" si="0"/>
        <v/>
      </c>
      <c r="D29" s="16"/>
      <c r="E29" s="16"/>
      <c r="F29" s="16"/>
      <c r="G29" s="16"/>
      <c r="H29" s="16"/>
    </row>
    <row r="30" spans="1:8" x14ac:dyDescent="0.35">
      <c r="A30" s="18" t="b">
        <v>0</v>
      </c>
      <c r="B30" s="15">
        <v>0</v>
      </c>
      <c r="C30" s="17" t="str">
        <f t="shared" si="0"/>
        <v/>
      </c>
      <c r="D30" s="16"/>
      <c r="E30" s="16"/>
      <c r="F30" s="16"/>
      <c r="G30" s="16"/>
      <c r="H30" s="16"/>
    </row>
    <row r="31" spans="1:8" x14ac:dyDescent="0.35">
      <c r="A31" s="18" t="b">
        <v>0</v>
      </c>
      <c r="B31" s="15">
        <v>0</v>
      </c>
      <c r="C31" s="17" t="str">
        <f t="shared" si="0"/>
        <v/>
      </c>
      <c r="D31" s="16"/>
      <c r="E31" s="16"/>
      <c r="F31" s="16"/>
      <c r="G31" s="16"/>
      <c r="H31" s="16"/>
    </row>
    <row r="32" spans="1:8" x14ac:dyDescent="0.35">
      <c r="A32" s="18" t="b">
        <v>0</v>
      </c>
      <c r="B32" s="15">
        <v>0</v>
      </c>
      <c r="C32" s="17" t="str">
        <f t="shared" si="0"/>
        <v/>
      </c>
      <c r="D32" s="16"/>
      <c r="E32" s="16"/>
      <c r="F32" s="16"/>
      <c r="G32" s="16"/>
      <c r="H32" s="16"/>
    </row>
    <row r="33" spans="1:8" x14ac:dyDescent="0.35">
      <c r="A33" s="18" t="b">
        <v>0</v>
      </c>
      <c r="B33" s="15">
        <v>0</v>
      </c>
      <c r="C33" s="17" t="str">
        <f t="shared" si="0"/>
        <v/>
      </c>
      <c r="D33" s="16"/>
      <c r="E33" s="16"/>
      <c r="F33" s="16"/>
      <c r="G33" s="16"/>
      <c r="H33" s="16"/>
    </row>
    <row r="34" spans="1:8" x14ac:dyDescent="0.35">
      <c r="A34" s="18" t="b">
        <v>0</v>
      </c>
      <c r="B34" s="15">
        <v>0</v>
      </c>
      <c r="C34" s="17" t="str">
        <f t="shared" ref="C34:C50" si="1">IF(ISNUMBER(B34),
IF(B34=0,"",B34),
VALUE(LEFT(B34,LEN(B34)-1))*
IF(RIGHT(B34,1)="k",1000,
IF(RIGHT(B34,1)="M",1000000,
IF(RIGHT(B34,1)="m",0.001,1))))</f>
        <v/>
      </c>
      <c r="D34" s="16"/>
      <c r="E34" s="16"/>
      <c r="F34" s="16"/>
      <c r="G34" s="16"/>
      <c r="H34" s="16"/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201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198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1</v>
      </c>
      <c r="B3" t="s">
        <v>314</v>
      </c>
      <c r="C3" t="s">
        <v>315</v>
      </c>
      <c r="D3" t="s">
        <v>316</v>
      </c>
      <c r="E3" t="s">
        <v>317</v>
      </c>
      <c r="F3" t="s">
        <v>79</v>
      </c>
      <c r="G3" t="s">
        <v>318</v>
      </c>
    </row>
    <row r="4" spans="1:7" x14ac:dyDescent="0.35">
      <c r="A4" s="9" t="b">
        <v>1</v>
      </c>
      <c r="B4" t="s">
        <v>396</v>
      </c>
      <c r="C4" t="s">
        <v>315</v>
      </c>
      <c r="D4" t="s">
        <v>397</v>
      </c>
      <c r="E4" t="s">
        <v>398</v>
      </c>
      <c r="F4" t="s">
        <v>399</v>
      </c>
      <c r="G4" t="s">
        <v>400</v>
      </c>
    </row>
    <row r="5" spans="1:7" x14ac:dyDescent="0.35">
      <c r="A5" s="9" t="b">
        <v>1</v>
      </c>
      <c r="B5" t="s">
        <v>420</v>
      </c>
      <c r="C5" t="s">
        <v>76</v>
      </c>
      <c r="D5" t="s">
        <v>418</v>
      </c>
      <c r="G5" t="s">
        <v>419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201</v>
      </c>
      <c r="B1" s="22" t="s">
        <v>194</v>
      </c>
      <c r="C1" s="22" t="s">
        <v>345</v>
      </c>
      <c r="D1" s="22" t="s">
        <v>248</v>
      </c>
      <c r="E1" s="22" t="s">
        <v>2</v>
      </c>
      <c r="F1" s="22" t="s">
        <v>33</v>
      </c>
    </row>
    <row r="2" spans="1:6" x14ac:dyDescent="0.35">
      <c r="A2" s="9" t="b">
        <v>1</v>
      </c>
      <c r="B2" t="s">
        <v>107</v>
      </c>
      <c r="C2">
        <v>1</v>
      </c>
      <c r="D2" t="s">
        <v>206</v>
      </c>
      <c r="E2" t="s">
        <v>206</v>
      </c>
      <c r="F2" t="s">
        <v>206</v>
      </c>
    </row>
    <row r="3" spans="1:6" x14ac:dyDescent="0.35">
      <c r="A3" s="9" t="b">
        <v>1</v>
      </c>
      <c r="B3" t="s">
        <v>129</v>
      </c>
      <c r="C3">
        <v>1</v>
      </c>
      <c r="D3" t="s">
        <v>346</v>
      </c>
      <c r="E3">
        <v>5012</v>
      </c>
      <c r="F3" t="s">
        <v>347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J11"/>
  <sheetViews>
    <sheetView workbookViewId="0">
      <selection activeCell="A2" sqref="A2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6" width="13.81640625" customWidth="1"/>
    <col min="7" max="7" width="19.26953125" customWidth="1"/>
    <col min="8" max="8" width="41.81640625" customWidth="1"/>
    <col min="9" max="10" width="0" hidden="1" customWidth="1"/>
    <col min="11" max="16384" width="8.7265625" hidden="1"/>
  </cols>
  <sheetData>
    <row r="1" spans="1:8" x14ac:dyDescent="0.35">
      <c r="A1" s="21" t="s">
        <v>201</v>
      </c>
      <c r="B1" s="21" t="s">
        <v>299</v>
      </c>
      <c r="C1" s="21" t="s">
        <v>300</v>
      </c>
      <c r="D1" s="21" t="s">
        <v>1</v>
      </c>
      <c r="E1" s="21" t="s">
        <v>285</v>
      </c>
      <c r="F1" s="21" t="s">
        <v>302</v>
      </c>
      <c r="G1" s="21" t="s">
        <v>2</v>
      </c>
      <c r="H1" s="21" t="s">
        <v>33</v>
      </c>
    </row>
    <row r="2" spans="1:8" x14ac:dyDescent="0.35">
      <c r="A2" s="9" t="b">
        <v>1</v>
      </c>
      <c r="B2" t="s">
        <v>301</v>
      </c>
      <c r="C2" t="s">
        <v>303</v>
      </c>
      <c r="D2">
        <v>40</v>
      </c>
      <c r="E2" t="s">
        <v>304</v>
      </c>
      <c r="F2" t="s">
        <v>129</v>
      </c>
      <c r="G2" t="s">
        <v>305</v>
      </c>
      <c r="H2" t="s">
        <v>306</v>
      </c>
    </row>
    <row r="3" spans="1:8" x14ac:dyDescent="0.35">
      <c r="A3" s="9" t="b">
        <v>0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5" sqref="A5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201</v>
      </c>
      <c r="B1" t="s">
        <v>87</v>
      </c>
      <c r="C1" t="s">
        <v>228</v>
      </c>
      <c r="D1" t="s">
        <v>230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234</v>
      </c>
      <c r="D2" t="s">
        <v>231</v>
      </c>
      <c r="E2" t="s">
        <v>90</v>
      </c>
      <c r="F2" t="s">
        <v>93</v>
      </c>
      <c r="G2" t="s">
        <v>91</v>
      </c>
      <c r="H2" t="s">
        <v>232</v>
      </c>
    </row>
    <row r="3" spans="1:8" x14ac:dyDescent="0.35">
      <c r="A3" s="9" t="b">
        <v>1</v>
      </c>
      <c r="B3" t="s">
        <v>147</v>
      </c>
      <c r="C3" t="s">
        <v>229</v>
      </c>
      <c r="D3" t="s">
        <v>233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1</v>
      </c>
      <c r="B4" t="s">
        <v>88</v>
      </c>
      <c r="C4" t="s">
        <v>369</v>
      </c>
      <c r="D4" s="4" t="s">
        <v>370</v>
      </c>
      <c r="E4" t="s">
        <v>371</v>
      </c>
      <c r="F4" t="s">
        <v>123</v>
      </c>
      <c r="G4" t="s">
        <v>372</v>
      </c>
      <c r="H4" t="s">
        <v>373</v>
      </c>
    </row>
    <row r="5" spans="1:8" x14ac:dyDescent="0.35">
      <c r="A5" s="9" t="b">
        <v>1</v>
      </c>
      <c r="B5" t="s">
        <v>88</v>
      </c>
      <c r="C5" t="s">
        <v>369</v>
      </c>
      <c r="D5" t="s">
        <v>378</v>
      </c>
      <c r="E5" t="s">
        <v>377</v>
      </c>
      <c r="F5" t="s">
        <v>175</v>
      </c>
      <c r="G5" t="s">
        <v>379</v>
      </c>
      <c r="H5" t="s">
        <v>380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2026-05-12T21:59:46Z</dcterms:modified>
</cp:coreProperties>
</file>