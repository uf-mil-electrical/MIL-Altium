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666c1b81e9ee1c/Documents/7-MIL/misc_hardware/"/>
    </mc:Choice>
  </mc:AlternateContent>
  <xr:revisionPtr revIDLastSave="17" documentId="13_ncr:1_{1B24B52B-EBC5-40D7-887C-22B21C3C5A8B}" xr6:coauthVersionLast="47" xr6:coauthVersionMax="47" xr10:uidLastSave="{9D228B5E-BF3B-465A-B8CA-8EB5B922DF79}"/>
  <bookViews>
    <workbookView xWindow="-108" yWindow="-108" windowWidth="23256" windowHeight="13896" activeTab="1" xr2:uid="{86EE07F0-6832-478A-ADA3-A72BE1833A21}"/>
  </bookViews>
  <sheets>
    <sheet name="Passives Database" sheetId="1" r:id="rId1"/>
    <sheet name="Component Lookup" sheetId="2" r:id="rId2"/>
    <sheet name="READM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 a="1"/>
  <c r="G5" i="2" s="1"/>
  <c r="F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<sst xmlns="http://schemas.openxmlformats.org/spreadsheetml/2006/main" count="665" uniqueCount="195">
  <si>
    <t>Component</t>
  </si>
  <si>
    <t>Package</t>
  </si>
  <si>
    <t>Value</t>
  </si>
  <si>
    <t>Voltage Rating [V]</t>
  </si>
  <si>
    <t>Power Rating [W]</t>
  </si>
  <si>
    <t>Tolerance [%]</t>
  </si>
  <si>
    <t>Unit</t>
  </si>
  <si>
    <t>Box</t>
  </si>
  <si>
    <t>Resistor</t>
  </si>
  <si>
    <t>[0603]</t>
  </si>
  <si>
    <t>Ω</t>
  </si>
  <si>
    <t>[0,10]</t>
  </si>
  <si>
    <t>Index [i,j]</t>
  </si>
  <si>
    <t>[0,0]</t>
  </si>
  <si>
    <t>[0,1]</t>
  </si>
  <si>
    <t>[0,2]</t>
  </si>
  <si>
    <t>[0,3]</t>
  </si>
  <si>
    <t>[0,4]</t>
  </si>
  <si>
    <t>[0,5]</t>
  </si>
  <si>
    <t>[0,6]</t>
  </si>
  <si>
    <t xml:space="preserve">[0,7] </t>
  </si>
  <si>
    <t>[0,8]</t>
  </si>
  <si>
    <t>[0,9]</t>
  </si>
  <si>
    <t>[0,11]</t>
  </si>
  <si>
    <t>[1,3]</t>
  </si>
  <si>
    <t>[1,4]</t>
  </si>
  <si>
    <t>[1,5]</t>
  </si>
  <si>
    <t>[1,6]</t>
  </si>
  <si>
    <t>[1,7]</t>
  </si>
  <si>
    <t>[1,8]</t>
  </si>
  <si>
    <t>[1,9]</t>
  </si>
  <si>
    <t>[1,10]</t>
  </si>
  <si>
    <t>[1,11]</t>
  </si>
  <si>
    <t>[2,0]</t>
  </si>
  <si>
    <t>[1,0]</t>
  </si>
  <si>
    <t>[1,1]</t>
  </si>
  <si>
    <t>[1,2]</t>
  </si>
  <si>
    <t>[2,1]</t>
  </si>
  <si>
    <t>[2,2]</t>
  </si>
  <si>
    <t>[2,3]</t>
  </si>
  <si>
    <t>[2,4]</t>
  </si>
  <si>
    <t>[2,5]</t>
  </si>
  <si>
    <t>[2,6]</t>
  </si>
  <si>
    <t>[2,7]</t>
  </si>
  <si>
    <t>[2,8]</t>
  </si>
  <si>
    <t>[2,9]</t>
  </si>
  <si>
    <t>[2,10]</t>
  </si>
  <si>
    <t>[2,11]</t>
  </si>
  <si>
    <t>[3,0]</t>
  </si>
  <si>
    <t>[3,1]</t>
  </si>
  <si>
    <t>[3,2]</t>
  </si>
  <si>
    <t>[3,3]</t>
  </si>
  <si>
    <t>[3,4]</t>
  </si>
  <si>
    <t>[3,5]</t>
  </si>
  <si>
    <t>[3,6]</t>
  </si>
  <si>
    <t>Notes</t>
  </si>
  <si>
    <t>2 entries of 300 ohm resistors with same specs</t>
  </si>
  <si>
    <t>[3.7]</t>
  </si>
  <si>
    <t>[3,8]</t>
  </si>
  <si>
    <t>[3,9]</t>
  </si>
  <si>
    <t>3 entries of 10k ohm resistors with same specs (could be full bins)</t>
  </si>
  <si>
    <t>[3,10]</t>
  </si>
  <si>
    <t>[3,11]</t>
  </si>
  <si>
    <t>[4,0]</t>
  </si>
  <si>
    <t>[0805]</t>
  </si>
  <si>
    <t>[4,1]</t>
  </si>
  <si>
    <t>[4,2]</t>
  </si>
  <si>
    <t>[4,3]</t>
  </si>
  <si>
    <t>[4,4]</t>
  </si>
  <si>
    <t>[4,5]</t>
  </si>
  <si>
    <t>[4,6]</t>
  </si>
  <si>
    <t>[4,7]</t>
  </si>
  <si>
    <t>[4,8]</t>
  </si>
  <si>
    <t>[4.9]</t>
  </si>
  <si>
    <t>[4,10]</t>
  </si>
  <si>
    <t>[4,11]</t>
  </si>
  <si>
    <t>[5,0]</t>
  </si>
  <si>
    <t>[1206]</t>
  </si>
  <si>
    <t>[5,1]</t>
  </si>
  <si>
    <t>[5.2]</t>
  </si>
  <si>
    <t>[5,3]</t>
  </si>
  <si>
    <t>[5,9]</t>
  </si>
  <si>
    <t>[0402]</t>
  </si>
  <si>
    <t>[5.10]</t>
  </si>
  <si>
    <t>[5,11]</t>
  </si>
  <si>
    <t>Current Rating [A]</t>
  </si>
  <si>
    <t>[6,0]</t>
  </si>
  <si>
    <t>PTC Fuse</t>
  </si>
  <si>
    <t>[6,1]</t>
  </si>
  <si>
    <t>Probe Pad</t>
  </si>
  <si>
    <t>[6,2]</t>
  </si>
  <si>
    <t>Green LED</t>
  </si>
  <si>
    <t>[6,3]</t>
  </si>
  <si>
    <t>Yellow LED</t>
  </si>
  <si>
    <t>[6,4]</t>
  </si>
  <si>
    <t>Red LED</t>
  </si>
  <si>
    <t>[6.5]</t>
  </si>
  <si>
    <t>Blue LED</t>
  </si>
  <si>
    <t>[6,6]</t>
  </si>
  <si>
    <t>Ferrite Bead</t>
  </si>
  <si>
    <t>[6,7]</t>
  </si>
  <si>
    <t>[6,11]</t>
  </si>
  <si>
    <t>[7,0]</t>
  </si>
  <si>
    <t>Capacitor</t>
  </si>
  <si>
    <t>F</t>
  </si>
  <si>
    <t>[7,1]</t>
  </si>
  <si>
    <t>[7,2]</t>
  </si>
  <si>
    <t>[7,3]</t>
  </si>
  <si>
    <t>[7,4]</t>
  </si>
  <si>
    <t>[7,5]</t>
  </si>
  <si>
    <t>[7,6]</t>
  </si>
  <si>
    <t>[7,7]</t>
  </si>
  <si>
    <t>[8,0]</t>
  </si>
  <si>
    <t>[9,0]</t>
  </si>
  <si>
    <t>[10,0]</t>
  </si>
  <si>
    <t>[8,1]</t>
  </si>
  <si>
    <t>[8,2]</t>
  </si>
  <si>
    <t>[8,3]</t>
  </si>
  <si>
    <t>[8,5]</t>
  </si>
  <si>
    <t>[8,6]</t>
  </si>
  <si>
    <t>8,7]</t>
  </si>
  <si>
    <t>[8,4]</t>
  </si>
  <si>
    <t>[8,8]</t>
  </si>
  <si>
    <t>[8,9]</t>
  </si>
  <si>
    <t>[8,10]</t>
  </si>
  <si>
    <t>[8,11]</t>
  </si>
  <si>
    <t>[1210]</t>
  </si>
  <si>
    <t>[9,1]</t>
  </si>
  <si>
    <t>[9,2]</t>
  </si>
  <si>
    <t>[9,3]</t>
  </si>
  <si>
    <t>[9,4]</t>
  </si>
  <si>
    <t>[9,5]</t>
  </si>
  <si>
    <t>[9,6]</t>
  </si>
  <si>
    <t>[9,7]</t>
  </si>
  <si>
    <t>[9,8]</t>
  </si>
  <si>
    <t>[9,9]</t>
  </si>
  <si>
    <t>[9,10]</t>
  </si>
  <si>
    <t>[9,11]</t>
  </si>
  <si>
    <t>[10,1]</t>
  </si>
  <si>
    <t>[10,2]</t>
  </si>
  <si>
    <t>[10,3]</t>
  </si>
  <si>
    <t>[10,4]</t>
  </si>
  <si>
    <t>[10,5]</t>
  </si>
  <si>
    <t>[10,6]</t>
  </si>
  <si>
    <t>[10,7]</t>
  </si>
  <si>
    <t>[10,8]</t>
  </si>
  <si>
    <t>[10,9]</t>
  </si>
  <si>
    <t>[10,10]</t>
  </si>
  <si>
    <t>[10,11]</t>
  </si>
  <si>
    <t>[11,0]</t>
  </si>
  <si>
    <t>[11,1]</t>
  </si>
  <si>
    <t>[11,2]</t>
  </si>
  <si>
    <t>[11,3]</t>
  </si>
  <si>
    <t>[11,4]</t>
  </si>
  <si>
    <t>[11,5]</t>
  </si>
  <si>
    <t>[0201]</t>
  </si>
  <si>
    <t>[11,6]</t>
  </si>
  <si>
    <t>[11,7]</t>
  </si>
  <si>
    <t>[11,8]</t>
  </si>
  <si>
    <t>[11,9]</t>
  </si>
  <si>
    <t>[11,10]</t>
  </si>
  <si>
    <t>[11,11]</t>
  </si>
  <si>
    <t>[1812]</t>
  </si>
  <si>
    <t>H</t>
  </si>
  <si>
    <t>Inductor</t>
  </si>
  <si>
    <t>ESR [Ω]</t>
  </si>
  <si>
    <t>Diode</t>
  </si>
  <si>
    <t>SOD</t>
  </si>
  <si>
    <t>SMA</t>
  </si>
  <si>
    <t>M7 Diode</t>
  </si>
  <si>
    <t>[5,2]</t>
  </si>
  <si>
    <t>Schottky Diode</t>
  </si>
  <si>
    <t>TVS Diode</t>
  </si>
  <si>
    <t>VWM [V]</t>
  </si>
  <si>
    <t>[6,5]</t>
  </si>
  <si>
    <t>Varistor</t>
  </si>
  <si>
    <t>MIL ELECTRICAL COMPONENTS DATABASE</t>
  </si>
  <si>
    <t>How to use</t>
  </si>
  <si>
    <t>To lookup currently stored components, go to comonent lookup sheet and enter the specifications you need for your components</t>
  </si>
  <si>
    <t>If a match is found, the location of the storage mechanism and location in the mechanism (i.e., index) may be returned</t>
  </si>
  <si>
    <t>To add components, navigate to the appropriate database</t>
  </si>
  <si>
    <t xml:space="preserve">Insert a new column and follow the headers style to fill out the component specs </t>
  </si>
  <si>
    <r>
      <t xml:space="preserve">Created by: </t>
    </r>
    <r>
      <rPr>
        <sz val="11"/>
        <color theme="1"/>
        <rFont val="Aptos Narrow"/>
        <family val="2"/>
        <scheme val="minor"/>
      </rPr>
      <t>Aiden Shepler</t>
    </r>
  </si>
  <si>
    <r>
      <t xml:space="preserve">Lastest Comonent Addition: </t>
    </r>
    <r>
      <rPr>
        <sz val="11"/>
        <color theme="1"/>
        <rFont val="Aptos Narrow"/>
        <family val="2"/>
        <scheme val="minor"/>
      </rPr>
      <t>2/7/2026</t>
    </r>
  </si>
  <si>
    <r>
      <t xml:space="preserve">Lastest Revision: </t>
    </r>
    <r>
      <rPr>
        <sz val="11"/>
        <color theme="1"/>
        <rFont val="Aptos Narrow"/>
        <family val="2"/>
        <scheme val="minor"/>
      </rPr>
      <t>2/7/2026</t>
    </r>
  </si>
  <si>
    <t>Parameter</t>
  </si>
  <si>
    <t>Your Query</t>
  </si>
  <si>
    <t>Format</t>
  </si>
  <si>
    <t>Title case (caps on all first letters)</t>
  </si>
  <si>
    <t>[&lt;package size&gt;]</t>
  </si>
  <si>
    <t>The expanded value (e.g., for 10k input 10e3)</t>
  </si>
  <si>
    <t>DATABASE LOOKUP</t>
  </si>
  <si>
    <t>LOOKUP RESULTS</t>
  </si>
  <si>
    <t>in current version you must specify these three parameters to get results</t>
  </si>
  <si>
    <t>[this color indicates field(s) to be changed by the user]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</si>
</sst>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2" borderId="3" xfId="0" applyFont="1" applyFill="1" applyBorder="1"/>
    <xf numFmtId="0" fontId="3" fillId="0" borderId="0" xfId="0" applyFont="1"/>
    <xf numFmtId="11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4" fillId="0" borderId="0" xfId="0" applyFont="1" applyAlignment="1">
      <alignment vertical="center"/>
    </xf>
    <xf numFmtId="0" fontId="0" fillId="4" borderId="0" xfId="0" applyFill="1"/>
    <xf numFmtId="11" fontId="0" fillId="4" borderId="0" xfId="0" applyNumberFormat="1" applyFill="1"/>
    <xf numFmtId="0" fontId="5" fillId="3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indexed="64"/>
          <bgColor rgb="FFFFC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FAB953-5A7F-4167-A967-A51DED7B0BB3}" name="Table1" displayName="Table1" ref="B1:M158" totalsRowShown="0" headerRowDxfId="3">
  <autoFilter ref="B1:M158" xr:uid="{81FAB953-5A7F-4167-A967-A51DED7B0BB3}"/>
  <tableColumns count="12">
    <tableColumn id="9" xr3:uid="{95D82B43-71C9-44B8-9808-847DEE2D3196}" name="Box"/>
    <tableColumn id="1" xr3:uid="{5CDDA690-ADE6-4AEB-87A5-C77AB1C01EBE}" name="Index [i,j]"/>
    <tableColumn id="2" xr3:uid="{5CB12172-B664-435E-92F7-8CF31AC6CB84}" name="Component"/>
    <tableColumn id="3" xr3:uid="{AC487AB4-27FD-4B6E-AD73-2E4C66B9F149}" name="Package"/>
    <tableColumn id="4" xr3:uid="{33F238A3-8361-4B2D-BEC4-3761A9DF98A8}" name="Value"/>
    <tableColumn id="5" xr3:uid="{6B736C92-98A3-4298-BF90-48E8A587DC63}" name="Unit"/>
    <tableColumn id="6" xr3:uid="{F34AF311-84B0-48B7-B0A2-58CEF601E780}" name="Tolerance [%]"/>
    <tableColumn id="10" xr3:uid="{39E3B379-6421-469C-82DE-84E6FD47B053}" name="Current Rating [A]"/>
    <tableColumn id="7" xr3:uid="{8826E27F-46DA-46CD-8E50-48B886C3150D}" name="Voltage Rating [V]"/>
    <tableColumn id="8" xr3:uid="{17E570CB-3405-4840-9828-84F31AC4BB27}" name="Power Rating [W]"/>
    <tableColumn id="11" xr3:uid="{173696F2-5E5E-4B4E-AF01-C3A402990C5F}" name="ESR [Ω]"/>
    <tableColumn id="12" xr3:uid="{252F52AB-5207-48F2-B59E-3C1D2C033714}" name="VWM [V]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090976-65FA-46D7-BB91-E74DA4855F10}" name="Table2" displayName="Table2" ref="B4:D7" totalsRowShown="0" headerRowDxfId="2">
  <autoFilter ref="B4:D7" xr:uid="{F4090976-65FA-46D7-BB91-E74DA4855F10}"/>
  <tableColumns count="3">
    <tableColumn id="1" xr3:uid="{2DC8BB18-5622-47A0-8FD6-660BE65A3C8F}" name="Parameter" dataDxfId="1"/>
    <tableColumn id="2" xr3:uid="{AFB4F423-C58F-4467-AEC4-B910540222C0}" name="Your Query" dataDxfId="0"/>
    <tableColumn id="3" xr3:uid="{8DD77429-39D4-4A11-9FFD-75DA088DA053}" name="Forma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FE0E-D850-4731-90A3-4B2E98FDD4DA}">
  <dimension ref="B1:P158"/>
  <sheetViews>
    <sheetView workbookViewId="0">
      <pane ySplit="1" topLeftCell="A2" activePane="bottomLeft" state="frozen"/>
      <selection pane="bottomLeft" activeCell="F16" sqref="F16"/>
    </sheetView>
  </sheetViews>
  <sheetFormatPr defaultRowHeight="14.4" x14ac:dyDescent="0.3"/>
  <cols>
    <col min="1" max="1" width="3.21875" customWidth="1"/>
    <col min="3" max="3" width="12.5546875" customWidth="1"/>
    <col min="4" max="4" width="13.6640625" customWidth="1"/>
    <col min="5" max="5" width="11.21875" customWidth="1"/>
    <col min="7" max="7" width="7.5546875" customWidth="1"/>
    <col min="8" max="9" width="15.33203125" customWidth="1"/>
    <col min="10" max="10" width="16.6640625" customWidth="1"/>
    <col min="11" max="11" width="17.33203125" customWidth="1"/>
    <col min="12" max="12" width="10.33203125" customWidth="1"/>
  </cols>
  <sheetData>
    <row r="1" spans="2:16" x14ac:dyDescent="0.3">
      <c r="B1" s="1" t="s">
        <v>7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6</v>
      </c>
      <c r="H1" s="1" t="s">
        <v>5</v>
      </c>
      <c r="I1" s="1" t="s">
        <v>85</v>
      </c>
      <c r="J1" s="1" t="s">
        <v>3</v>
      </c>
      <c r="K1" s="1" t="s">
        <v>4</v>
      </c>
      <c r="L1" s="1" t="s">
        <v>165</v>
      </c>
      <c r="M1" s="1" t="s">
        <v>173</v>
      </c>
    </row>
    <row r="2" spans="2:16" x14ac:dyDescent="0.3">
      <c r="B2">
        <v>0</v>
      </c>
      <c r="C2" t="s">
        <v>13</v>
      </c>
      <c r="D2" t="s">
        <v>8</v>
      </c>
      <c r="E2" t="s">
        <v>9</v>
      </c>
      <c r="F2">
        <v>10</v>
      </c>
      <c r="G2" s="3" t="s">
        <v>10</v>
      </c>
      <c r="H2">
        <v>5</v>
      </c>
      <c r="K2">
        <v>0.1</v>
      </c>
    </row>
    <row r="3" spans="2:16" x14ac:dyDescent="0.3">
      <c r="B3">
        <v>0</v>
      </c>
      <c r="C3" t="s">
        <v>14</v>
      </c>
      <c r="D3" t="s">
        <v>8</v>
      </c>
      <c r="E3" t="s">
        <v>9</v>
      </c>
      <c r="F3">
        <v>27</v>
      </c>
      <c r="G3" t="s">
        <v>10</v>
      </c>
      <c r="H3">
        <v>1</v>
      </c>
      <c r="K3">
        <v>0.1</v>
      </c>
      <c r="P3" s="1" t="s">
        <v>55</v>
      </c>
    </row>
    <row r="4" spans="2:16" x14ac:dyDescent="0.3">
      <c r="B4">
        <v>0</v>
      </c>
      <c r="C4" t="s">
        <v>15</v>
      </c>
      <c r="D4" t="s">
        <v>8</v>
      </c>
      <c r="E4" t="s">
        <v>9</v>
      </c>
      <c r="F4">
        <v>56</v>
      </c>
      <c r="G4" t="s">
        <v>10</v>
      </c>
      <c r="H4">
        <v>5</v>
      </c>
      <c r="K4">
        <v>0.1</v>
      </c>
      <c r="P4" t="s">
        <v>56</v>
      </c>
    </row>
    <row r="5" spans="2:16" x14ac:dyDescent="0.3">
      <c r="B5">
        <v>0</v>
      </c>
      <c r="C5" t="s">
        <v>16</v>
      </c>
      <c r="D5" t="s">
        <v>8</v>
      </c>
      <c r="E5" t="s">
        <v>9</v>
      </c>
      <c r="F5">
        <v>60.4</v>
      </c>
      <c r="G5" t="s">
        <v>10</v>
      </c>
      <c r="H5">
        <v>1</v>
      </c>
      <c r="K5">
        <v>0.1</v>
      </c>
      <c r="P5" t="s">
        <v>60</v>
      </c>
    </row>
    <row r="6" spans="2:16" x14ac:dyDescent="0.3">
      <c r="B6">
        <v>0</v>
      </c>
      <c r="C6" t="s">
        <v>17</v>
      </c>
      <c r="D6" t="s">
        <v>8</v>
      </c>
      <c r="E6" t="s">
        <v>9</v>
      </c>
      <c r="F6">
        <v>68</v>
      </c>
      <c r="G6" t="s">
        <v>10</v>
      </c>
      <c r="H6">
        <v>5</v>
      </c>
      <c r="K6">
        <v>0.1</v>
      </c>
    </row>
    <row r="7" spans="2:16" x14ac:dyDescent="0.3">
      <c r="B7">
        <v>0</v>
      </c>
      <c r="C7" t="s">
        <v>18</v>
      </c>
      <c r="D7" t="s">
        <v>8</v>
      </c>
      <c r="E7" t="s">
        <v>9</v>
      </c>
      <c r="F7">
        <v>120</v>
      </c>
      <c r="G7" t="s">
        <v>10</v>
      </c>
      <c r="H7">
        <v>1</v>
      </c>
      <c r="K7">
        <v>0.1</v>
      </c>
    </row>
    <row r="8" spans="2:16" x14ac:dyDescent="0.3">
      <c r="B8">
        <v>0</v>
      </c>
      <c r="C8" t="s">
        <v>19</v>
      </c>
      <c r="D8" t="s">
        <v>8</v>
      </c>
      <c r="E8" t="s">
        <v>9</v>
      </c>
      <c r="F8">
        <v>270</v>
      </c>
      <c r="G8" t="s">
        <v>10</v>
      </c>
      <c r="H8">
        <v>5</v>
      </c>
      <c r="K8">
        <v>0.1</v>
      </c>
    </row>
    <row r="9" spans="2:16" x14ac:dyDescent="0.3">
      <c r="B9">
        <v>0</v>
      </c>
      <c r="C9" t="s">
        <v>20</v>
      </c>
      <c r="D9" t="s">
        <v>8</v>
      </c>
      <c r="E9" t="s">
        <v>9</v>
      </c>
      <c r="F9">
        <v>330</v>
      </c>
      <c r="G9" t="s">
        <v>10</v>
      </c>
      <c r="H9">
        <v>5</v>
      </c>
      <c r="K9">
        <v>0.1</v>
      </c>
    </row>
    <row r="10" spans="2:16" x14ac:dyDescent="0.3">
      <c r="B10">
        <v>0</v>
      </c>
      <c r="C10" t="s">
        <v>21</v>
      </c>
      <c r="D10" t="s">
        <v>8</v>
      </c>
      <c r="E10" t="s">
        <v>9</v>
      </c>
      <c r="F10">
        <v>300</v>
      </c>
      <c r="G10" t="s">
        <v>10</v>
      </c>
      <c r="H10">
        <v>1</v>
      </c>
      <c r="K10">
        <v>0.1</v>
      </c>
    </row>
    <row r="11" spans="2:16" x14ac:dyDescent="0.3">
      <c r="B11">
        <v>0</v>
      </c>
      <c r="C11" t="s">
        <v>22</v>
      </c>
      <c r="D11" t="s">
        <v>8</v>
      </c>
      <c r="E11" t="s">
        <v>9</v>
      </c>
      <c r="F11" s="4">
        <v>1000</v>
      </c>
      <c r="G11" t="s">
        <v>10</v>
      </c>
      <c r="H11">
        <v>1</v>
      </c>
      <c r="K11">
        <v>6.25E-2</v>
      </c>
    </row>
    <row r="12" spans="2:16" x14ac:dyDescent="0.3">
      <c r="B12">
        <v>0</v>
      </c>
      <c r="C12" t="s">
        <v>11</v>
      </c>
      <c r="D12" t="s">
        <v>8</v>
      </c>
      <c r="E12" t="s">
        <v>9</v>
      </c>
      <c r="F12" s="4">
        <v>1000</v>
      </c>
      <c r="G12" t="s">
        <v>10</v>
      </c>
      <c r="H12">
        <v>5</v>
      </c>
      <c r="K12">
        <v>0.1</v>
      </c>
    </row>
    <row r="13" spans="2:16" x14ac:dyDescent="0.3">
      <c r="B13">
        <v>0</v>
      </c>
      <c r="C13" t="s">
        <v>23</v>
      </c>
      <c r="D13" t="s">
        <v>8</v>
      </c>
      <c r="E13" t="s">
        <v>9</v>
      </c>
      <c r="F13" s="4">
        <v>1580</v>
      </c>
      <c r="G13" t="s">
        <v>10</v>
      </c>
      <c r="H13">
        <v>1</v>
      </c>
      <c r="K13">
        <v>0.1</v>
      </c>
    </row>
    <row r="14" spans="2:16" x14ac:dyDescent="0.3">
      <c r="B14">
        <v>0</v>
      </c>
      <c r="C14" t="s">
        <v>34</v>
      </c>
      <c r="D14" t="s">
        <v>8</v>
      </c>
      <c r="E14" t="s">
        <v>9</v>
      </c>
      <c r="F14" s="4">
        <v>1740</v>
      </c>
      <c r="G14" t="s">
        <v>10</v>
      </c>
      <c r="H14">
        <v>1</v>
      </c>
      <c r="K14">
        <v>0.1</v>
      </c>
    </row>
    <row r="15" spans="2:16" x14ac:dyDescent="0.3">
      <c r="B15">
        <v>0</v>
      </c>
      <c r="C15" t="s">
        <v>35</v>
      </c>
      <c r="D15" t="s">
        <v>8</v>
      </c>
      <c r="E15" t="s">
        <v>9</v>
      </c>
      <c r="F15" s="4">
        <v>1780</v>
      </c>
      <c r="G15" t="s">
        <v>10</v>
      </c>
      <c r="H15">
        <v>1</v>
      </c>
      <c r="K15">
        <v>0.1</v>
      </c>
    </row>
    <row r="16" spans="2:16" x14ac:dyDescent="0.3">
      <c r="B16">
        <v>0</v>
      </c>
      <c r="C16" t="s">
        <v>36</v>
      </c>
      <c r="D16" t="s">
        <v>8</v>
      </c>
      <c r="E16" t="s">
        <v>9</v>
      </c>
      <c r="F16" s="4">
        <v>1820</v>
      </c>
      <c r="G16" t="s">
        <v>10</v>
      </c>
      <c r="H16">
        <v>1</v>
      </c>
      <c r="K16">
        <v>0.1</v>
      </c>
    </row>
    <row r="17" spans="2:11" x14ac:dyDescent="0.3">
      <c r="B17">
        <v>0</v>
      </c>
      <c r="C17" t="s">
        <v>24</v>
      </c>
      <c r="D17" t="s">
        <v>8</v>
      </c>
      <c r="E17" t="s">
        <v>9</v>
      </c>
      <c r="F17" s="4">
        <v>2000</v>
      </c>
      <c r="G17" t="s">
        <v>10</v>
      </c>
      <c r="H17">
        <v>1</v>
      </c>
      <c r="K17">
        <v>0.1</v>
      </c>
    </row>
    <row r="18" spans="2:11" x14ac:dyDescent="0.3">
      <c r="B18">
        <v>0</v>
      </c>
      <c r="C18" t="s">
        <v>25</v>
      </c>
      <c r="D18" t="s">
        <v>8</v>
      </c>
      <c r="E18" t="s">
        <v>9</v>
      </c>
      <c r="F18" s="4">
        <v>3570</v>
      </c>
      <c r="G18" t="s">
        <v>10</v>
      </c>
      <c r="H18">
        <v>1</v>
      </c>
      <c r="K18">
        <v>0.1</v>
      </c>
    </row>
    <row r="19" spans="2:11" x14ac:dyDescent="0.3">
      <c r="B19">
        <v>0</v>
      </c>
      <c r="C19" t="s">
        <v>26</v>
      </c>
      <c r="D19" t="s">
        <v>8</v>
      </c>
      <c r="E19" t="s">
        <v>9</v>
      </c>
      <c r="F19" s="4">
        <v>4020</v>
      </c>
      <c r="G19" t="s">
        <v>10</v>
      </c>
      <c r="H19">
        <v>1</v>
      </c>
      <c r="K19">
        <v>0.1</v>
      </c>
    </row>
    <row r="20" spans="2:11" x14ac:dyDescent="0.3">
      <c r="B20">
        <v>0</v>
      </c>
      <c r="C20" t="s">
        <v>27</v>
      </c>
      <c r="D20" t="s">
        <v>8</v>
      </c>
      <c r="E20" t="s">
        <v>9</v>
      </c>
      <c r="F20" s="4">
        <v>4300</v>
      </c>
      <c r="G20" t="s">
        <v>10</v>
      </c>
      <c r="H20">
        <v>5</v>
      </c>
      <c r="K20">
        <v>0.1</v>
      </c>
    </row>
    <row r="21" spans="2:11" x14ac:dyDescent="0.3">
      <c r="B21">
        <v>0</v>
      </c>
      <c r="C21" t="s">
        <v>28</v>
      </c>
      <c r="D21" t="s">
        <v>8</v>
      </c>
      <c r="E21" t="s">
        <v>9</v>
      </c>
      <c r="F21" s="4">
        <v>4700</v>
      </c>
      <c r="G21" t="s">
        <v>10</v>
      </c>
      <c r="H21">
        <v>5</v>
      </c>
      <c r="K21">
        <v>0.1</v>
      </c>
    </row>
    <row r="22" spans="2:11" x14ac:dyDescent="0.3">
      <c r="B22">
        <v>0</v>
      </c>
      <c r="C22" t="s">
        <v>29</v>
      </c>
      <c r="D22" t="s">
        <v>8</v>
      </c>
      <c r="E22" t="s">
        <v>9</v>
      </c>
      <c r="F22" s="4">
        <v>5490</v>
      </c>
      <c r="G22" t="s">
        <v>10</v>
      </c>
      <c r="H22">
        <v>1</v>
      </c>
      <c r="K22">
        <v>0.1</v>
      </c>
    </row>
    <row r="23" spans="2:11" x14ac:dyDescent="0.3">
      <c r="B23">
        <v>0</v>
      </c>
      <c r="C23" t="s">
        <v>30</v>
      </c>
      <c r="D23" t="s">
        <v>8</v>
      </c>
      <c r="E23" t="s">
        <v>9</v>
      </c>
      <c r="F23" s="4">
        <v>10000</v>
      </c>
      <c r="G23" t="s">
        <v>10</v>
      </c>
      <c r="H23">
        <v>5</v>
      </c>
      <c r="K23">
        <v>0.1</v>
      </c>
    </row>
    <row r="24" spans="2:11" x14ac:dyDescent="0.3">
      <c r="B24">
        <v>0</v>
      </c>
      <c r="C24" t="s">
        <v>31</v>
      </c>
      <c r="D24" t="s">
        <v>8</v>
      </c>
      <c r="E24" t="s">
        <v>9</v>
      </c>
      <c r="F24" s="4">
        <v>20000</v>
      </c>
      <c r="G24" t="s">
        <v>10</v>
      </c>
      <c r="H24">
        <v>5</v>
      </c>
      <c r="K24">
        <v>0.1</v>
      </c>
    </row>
    <row r="25" spans="2:11" x14ac:dyDescent="0.3">
      <c r="B25">
        <v>0</v>
      </c>
      <c r="C25" t="s">
        <v>32</v>
      </c>
      <c r="D25" t="s">
        <v>8</v>
      </c>
      <c r="E25" t="s">
        <v>9</v>
      </c>
      <c r="F25" s="4">
        <v>100000</v>
      </c>
      <c r="G25" t="s">
        <v>10</v>
      </c>
      <c r="H25">
        <v>5</v>
      </c>
      <c r="K25">
        <v>0.1</v>
      </c>
    </row>
    <row r="26" spans="2:11" x14ac:dyDescent="0.3">
      <c r="B26">
        <v>0</v>
      </c>
      <c r="C26" t="s">
        <v>33</v>
      </c>
      <c r="D26" t="s">
        <v>8</v>
      </c>
      <c r="E26" t="s">
        <v>9</v>
      </c>
      <c r="F26" s="4">
        <v>1000000</v>
      </c>
      <c r="G26" t="s">
        <v>10</v>
      </c>
      <c r="H26">
        <v>1</v>
      </c>
      <c r="K26">
        <v>0.1</v>
      </c>
    </row>
    <row r="27" spans="2:11" x14ac:dyDescent="0.3">
      <c r="B27">
        <v>0</v>
      </c>
      <c r="C27" t="s">
        <v>37</v>
      </c>
      <c r="D27" t="s">
        <v>8</v>
      </c>
      <c r="E27" t="s">
        <v>9</v>
      </c>
      <c r="F27" s="4">
        <v>1020</v>
      </c>
      <c r="G27" t="s">
        <v>10</v>
      </c>
      <c r="H27">
        <v>1</v>
      </c>
      <c r="K27">
        <v>0.1</v>
      </c>
    </row>
    <row r="28" spans="2:11" x14ac:dyDescent="0.3">
      <c r="B28">
        <v>0</v>
      </c>
      <c r="C28" t="s">
        <v>38</v>
      </c>
      <c r="D28" t="s">
        <v>8</v>
      </c>
      <c r="E28" t="s">
        <v>9</v>
      </c>
      <c r="F28" s="4">
        <v>1500</v>
      </c>
      <c r="G28" t="s">
        <v>10</v>
      </c>
      <c r="H28">
        <v>1</v>
      </c>
      <c r="K28">
        <v>0.125</v>
      </c>
    </row>
    <row r="29" spans="2:11" x14ac:dyDescent="0.3">
      <c r="B29">
        <v>0</v>
      </c>
      <c r="C29" t="s">
        <v>39</v>
      </c>
      <c r="D29" t="s">
        <v>8</v>
      </c>
      <c r="E29" t="s">
        <v>9</v>
      </c>
      <c r="F29" s="4">
        <v>2200</v>
      </c>
      <c r="G29" t="s">
        <v>10</v>
      </c>
      <c r="H29">
        <v>1</v>
      </c>
      <c r="K29">
        <v>0.1</v>
      </c>
    </row>
    <row r="30" spans="2:11" x14ac:dyDescent="0.3">
      <c r="B30">
        <v>0</v>
      </c>
      <c r="C30" t="s">
        <v>40</v>
      </c>
      <c r="D30" t="s">
        <v>8</v>
      </c>
      <c r="E30" t="s">
        <v>9</v>
      </c>
      <c r="F30" s="4">
        <v>15000</v>
      </c>
      <c r="G30" t="s">
        <v>10</v>
      </c>
      <c r="H30">
        <v>5</v>
      </c>
      <c r="K30">
        <v>0.1</v>
      </c>
    </row>
    <row r="31" spans="2:11" x14ac:dyDescent="0.3">
      <c r="B31">
        <v>0</v>
      </c>
      <c r="C31" t="s">
        <v>41</v>
      </c>
      <c r="D31" t="s">
        <v>8</v>
      </c>
      <c r="E31" t="s">
        <v>9</v>
      </c>
      <c r="F31">
        <v>825</v>
      </c>
      <c r="G31" t="s">
        <v>10</v>
      </c>
      <c r="H31">
        <v>1</v>
      </c>
      <c r="K31">
        <v>0.1</v>
      </c>
    </row>
    <row r="32" spans="2:11" x14ac:dyDescent="0.3">
      <c r="B32">
        <v>0</v>
      </c>
      <c r="C32" t="s">
        <v>42</v>
      </c>
      <c r="D32" t="s">
        <v>8</v>
      </c>
      <c r="E32" t="s">
        <v>9</v>
      </c>
      <c r="F32" s="4">
        <v>20000</v>
      </c>
      <c r="G32" t="s">
        <v>10</v>
      </c>
      <c r="H32">
        <v>5</v>
      </c>
      <c r="K32">
        <v>0.1</v>
      </c>
    </row>
    <row r="33" spans="2:11" x14ac:dyDescent="0.3">
      <c r="B33">
        <v>0</v>
      </c>
      <c r="C33" t="s">
        <v>43</v>
      </c>
      <c r="D33" t="s">
        <v>8</v>
      </c>
      <c r="E33" t="s">
        <v>9</v>
      </c>
      <c r="F33" s="4">
        <v>3830</v>
      </c>
      <c r="G33" t="s">
        <v>10</v>
      </c>
      <c r="H33">
        <v>1</v>
      </c>
      <c r="K33">
        <v>0.1</v>
      </c>
    </row>
    <row r="34" spans="2:11" x14ac:dyDescent="0.3">
      <c r="B34">
        <v>0</v>
      </c>
      <c r="C34" t="s">
        <v>44</v>
      </c>
      <c r="D34" t="s">
        <v>8</v>
      </c>
      <c r="E34" t="s">
        <v>9</v>
      </c>
      <c r="F34" s="4">
        <v>5620</v>
      </c>
      <c r="G34" t="s">
        <v>10</v>
      </c>
      <c r="H34">
        <v>1</v>
      </c>
      <c r="K34">
        <v>0.1</v>
      </c>
    </row>
    <row r="35" spans="2:11" x14ac:dyDescent="0.3">
      <c r="B35">
        <v>0</v>
      </c>
      <c r="C35" t="s">
        <v>45</v>
      </c>
      <c r="D35" t="s">
        <v>8</v>
      </c>
      <c r="E35" t="s">
        <v>9</v>
      </c>
      <c r="F35" s="4">
        <v>10000</v>
      </c>
      <c r="G35" t="s">
        <v>10</v>
      </c>
      <c r="H35">
        <v>1</v>
      </c>
      <c r="K35">
        <v>0.1</v>
      </c>
    </row>
    <row r="36" spans="2:11" x14ac:dyDescent="0.3">
      <c r="B36">
        <v>0</v>
      </c>
      <c r="C36" t="s">
        <v>46</v>
      </c>
      <c r="D36" t="s">
        <v>8</v>
      </c>
      <c r="E36" t="s">
        <v>9</v>
      </c>
      <c r="F36" s="4">
        <v>91000</v>
      </c>
      <c r="G36" t="s">
        <v>10</v>
      </c>
      <c r="H36">
        <v>1</v>
      </c>
      <c r="K36">
        <v>0.1</v>
      </c>
    </row>
    <row r="37" spans="2:11" x14ac:dyDescent="0.3">
      <c r="B37">
        <v>0</v>
      </c>
      <c r="C37" t="s">
        <v>47</v>
      </c>
      <c r="D37" t="s">
        <v>8</v>
      </c>
      <c r="E37" t="s">
        <v>9</v>
      </c>
      <c r="F37" s="4">
        <f>100*10^3</f>
        <v>100000</v>
      </c>
      <c r="G37" t="s">
        <v>10</v>
      </c>
      <c r="H37">
        <v>5</v>
      </c>
      <c r="K37">
        <v>0.1</v>
      </c>
    </row>
    <row r="38" spans="2:11" x14ac:dyDescent="0.3">
      <c r="B38">
        <v>0</v>
      </c>
      <c r="C38" t="s">
        <v>48</v>
      </c>
      <c r="D38" t="s">
        <v>8</v>
      </c>
      <c r="E38" t="s">
        <v>9</v>
      </c>
      <c r="F38">
        <v>200</v>
      </c>
      <c r="G38" t="s">
        <v>10</v>
      </c>
      <c r="H38">
        <v>1</v>
      </c>
      <c r="K38">
        <v>0.1</v>
      </c>
    </row>
    <row r="39" spans="2:11" x14ac:dyDescent="0.3">
      <c r="B39">
        <v>0</v>
      </c>
      <c r="C39" t="s">
        <v>49</v>
      </c>
      <c r="D39" t="s">
        <v>8</v>
      </c>
      <c r="E39" t="s">
        <v>9</v>
      </c>
      <c r="F39" s="4">
        <v>3000</v>
      </c>
      <c r="G39" t="s">
        <v>10</v>
      </c>
      <c r="H39">
        <v>1</v>
      </c>
      <c r="K39">
        <v>0.1</v>
      </c>
    </row>
    <row r="40" spans="2:11" x14ac:dyDescent="0.3">
      <c r="B40">
        <v>0</v>
      </c>
      <c r="C40" t="s">
        <v>50</v>
      </c>
      <c r="D40" t="s">
        <v>8</v>
      </c>
      <c r="E40" t="s">
        <v>9</v>
      </c>
      <c r="F40" s="4">
        <v>30000</v>
      </c>
      <c r="G40" t="s">
        <v>10</v>
      </c>
      <c r="H40">
        <v>5</v>
      </c>
      <c r="K40">
        <v>0.1</v>
      </c>
    </row>
    <row r="41" spans="2:11" x14ac:dyDescent="0.3">
      <c r="B41">
        <v>0</v>
      </c>
      <c r="C41" t="s">
        <v>51</v>
      </c>
      <c r="D41" t="s">
        <v>8</v>
      </c>
      <c r="E41" t="s">
        <v>9</v>
      </c>
      <c r="F41" s="4">
        <v>11800</v>
      </c>
      <c r="G41" t="s">
        <v>10</v>
      </c>
      <c r="H41">
        <v>1</v>
      </c>
      <c r="K41">
        <v>0.1</v>
      </c>
    </row>
    <row r="42" spans="2:11" x14ac:dyDescent="0.3">
      <c r="B42">
        <v>0</v>
      </c>
      <c r="C42" t="s">
        <v>52</v>
      </c>
      <c r="D42" t="s">
        <v>8</v>
      </c>
      <c r="E42" t="s">
        <v>9</v>
      </c>
      <c r="F42">
        <v>63.4</v>
      </c>
      <c r="G42" t="s">
        <v>10</v>
      </c>
      <c r="H42">
        <v>1</v>
      </c>
      <c r="K42">
        <v>0.1</v>
      </c>
    </row>
    <row r="43" spans="2:11" x14ac:dyDescent="0.3">
      <c r="B43">
        <v>0</v>
      </c>
      <c r="C43" t="s">
        <v>53</v>
      </c>
      <c r="D43" t="s">
        <v>8</v>
      </c>
      <c r="E43" t="s">
        <v>9</v>
      </c>
      <c r="F43" s="4">
        <v>8200</v>
      </c>
      <c r="G43" t="s">
        <v>10</v>
      </c>
      <c r="H43">
        <v>5</v>
      </c>
      <c r="K43">
        <v>0.1</v>
      </c>
    </row>
    <row r="44" spans="2:11" x14ac:dyDescent="0.3">
      <c r="B44">
        <v>0</v>
      </c>
      <c r="C44" t="s">
        <v>54</v>
      </c>
      <c r="D44" t="s">
        <v>8</v>
      </c>
      <c r="E44" t="s">
        <v>9</v>
      </c>
      <c r="F44">
        <v>300</v>
      </c>
      <c r="G44" t="s">
        <v>10</v>
      </c>
      <c r="H44">
        <v>1</v>
      </c>
      <c r="K44">
        <v>0.1</v>
      </c>
    </row>
    <row r="45" spans="2:11" x14ac:dyDescent="0.3">
      <c r="B45">
        <v>0</v>
      </c>
      <c r="C45" t="s">
        <v>57</v>
      </c>
      <c r="D45" t="s">
        <v>8</v>
      </c>
      <c r="E45" t="s">
        <v>9</v>
      </c>
      <c r="F45" s="4">
        <v>309000</v>
      </c>
      <c r="G45" t="s">
        <v>10</v>
      </c>
      <c r="H45">
        <v>5</v>
      </c>
      <c r="K45">
        <v>6.25E-2</v>
      </c>
    </row>
    <row r="46" spans="2:11" x14ac:dyDescent="0.3">
      <c r="B46">
        <v>0</v>
      </c>
      <c r="C46" t="s">
        <v>58</v>
      </c>
      <c r="D46" t="s">
        <v>8</v>
      </c>
      <c r="E46" t="s">
        <v>9</v>
      </c>
      <c r="F46" s="4">
        <v>10000</v>
      </c>
      <c r="G46" t="s">
        <v>10</v>
      </c>
      <c r="H46">
        <v>1</v>
      </c>
      <c r="K46">
        <v>0.1</v>
      </c>
    </row>
    <row r="47" spans="2:11" x14ac:dyDescent="0.3">
      <c r="B47">
        <v>0</v>
      </c>
      <c r="C47" t="s">
        <v>59</v>
      </c>
      <c r="D47" t="s">
        <v>8</v>
      </c>
      <c r="E47" t="s">
        <v>9</v>
      </c>
      <c r="F47" s="4">
        <v>10000</v>
      </c>
      <c r="G47" t="s">
        <v>10</v>
      </c>
      <c r="H47">
        <v>1</v>
      </c>
      <c r="K47">
        <v>0.1</v>
      </c>
    </row>
    <row r="48" spans="2:11" x14ac:dyDescent="0.3">
      <c r="B48">
        <v>0</v>
      </c>
      <c r="C48" t="s">
        <v>61</v>
      </c>
      <c r="D48" t="s">
        <v>8</v>
      </c>
      <c r="E48" t="s">
        <v>9</v>
      </c>
      <c r="F48" s="4">
        <v>57000</v>
      </c>
      <c r="G48" t="s">
        <v>10</v>
      </c>
      <c r="H48">
        <v>1</v>
      </c>
      <c r="K48">
        <v>0.1</v>
      </c>
    </row>
    <row r="49" spans="2:11" x14ac:dyDescent="0.3">
      <c r="B49">
        <v>0</v>
      </c>
      <c r="C49" t="s">
        <v>62</v>
      </c>
      <c r="D49" t="s">
        <v>8</v>
      </c>
      <c r="E49" t="s">
        <v>9</v>
      </c>
      <c r="F49">
        <v>120</v>
      </c>
      <c r="G49" t="s">
        <v>10</v>
      </c>
      <c r="H49">
        <v>5</v>
      </c>
      <c r="K49">
        <v>0.1</v>
      </c>
    </row>
    <row r="50" spans="2:11" x14ac:dyDescent="0.3">
      <c r="B50">
        <v>0</v>
      </c>
      <c r="C50" t="s">
        <v>63</v>
      </c>
      <c r="D50" t="s">
        <v>8</v>
      </c>
      <c r="E50" t="s">
        <v>64</v>
      </c>
      <c r="F50">
        <v>10</v>
      </c>
      <c r="G50" t="s">
        <v>10</v>
      </c>
      <c r="H50">
        <v>1</v>
      </c>
      <c r="K50">
        <v>0.125</v>
      </c>
    </row>
    <row r="51" spans="2:11" x14ac:dyDescent="0.3">
      <c r="B51">
        <v>0</v>
      </c>
      <c r="C51" t="s">
        <v>65</v>
      </c>
      <c r="D51" t="s">
        <v>8</v>
      </c>
      <c r="E51" t="s">
        <v>64</v>
      </c>
      <c r="F51">
        <v>22</v>
      </c>
      <c r="G51" t="s">
        <v>10</v>
      </c>
      <c r="H51">
        <v>1</v>
      </c>
      <c r="K51">
        <v>0.125</v>
      </c>
    </row>
    <row r="52" spans="2:11" x14ac:dyDescent="0.3">
      <c r="B52">
        <v>0</v>
      </c>
      <c r="C52" t="s">
        <v>66</v>
      </c>
      <c r="D52" t="s">
        <v>8</v>
      </c>
      <c r="E52" t="s">
        <v>64</v>
      </c>
      <c r="F52" s="4">
        <v>100000</v>
      </c>
      <c r="G52" t="s">
        <v>10</v>
      </c>
      <c r="H52">
        <v>0.1</v>
      </c>
      <c r="K52">
        <v>0.25</v>
      </c>
    </row>
    <row r="53" spans="2:11" x14ac:dyDescent="0.3">
      <c r="B53">
        <v>0</v>
      </c>
      <c r="C53" t="s">
        <v>67</v>
      </c>
      <c r="D53" t="s">
        <v>8</v>
      </c>
      <c r="E53" t="s">
        <v>64</v>
      </c>
      <c r="F53" s="4">
        <v>4300</v>
      </c>
      <c r="G53" t="s">
        <v>10</v>
      </c>
      <c r="H53">
        <v>5</v>
      </c>
      <c r="K53">
        <v>0.125</v>
      </c>
    </row>
    <row r="54" spans="2:11" x14ac:dyDescent="0.3">
      <c r="B54">
        <v>0</v>
      </c>
      <c r="C54" t="s">
        <v>68</v>
      </c>
      <c r="D54" t="s">
        <v>8</v>
      </c>
      <c r="E54" t="s">
        <v>64</v>
      </c>
      <c r="F54">
        <v>27</v>
      </c>
      <c r="G54" t="s">
        <v>10</v>
      </c>
      <c r="H54">
        <v>5</v>
      </c>
      <c r="K54">
        <v>0.25</v>
      </c>
    </row>
    <row r="55" spans="2:11" x14ac:dyDescent="0.3">
      <c r="B55">
        <v>0</v>
      </c>
      <c r="C55" t="s">
        <v>69</v>
      </c>
      <c r="D55" t="s">
        <v>8</v>
      </c>
      <c r="E55" t="s">
        <v>9</v>
      </c>
      <c r="F55">
        <v>33</v>
      </c>
      <c r="G55" t="s">
        <v>10</v>
      </c>
      <c r="H55">
        <v>0.5</v>
      </c>
      <c r="K55">
        <v>6.25E-2</v>
      </c>
    </row>
    <row r="56" spans="2:11" x14ac:dyDescent="0.3">
      <c r="B56">
        <v>0</v>
      </c>
      <c r="C56" t="s">
        <v>70</v>
      </c>
      <c r="D56" t="s">
        <v>8</v>
      </c>
      <c r="E56" t="s">
        <v>9</v>
      </c>
      <c r="F56" s="4">
        <v>12100</v>
      </c>
      <c r="G56" t="s">
        <v>10</v>
      </c>
      <c r="H56">
        <v>1</v>
      </c>
      <c r="K56">
        <v>0.1</v>
      </c>
    </row>
    <row r="57" spans="2:11" x14ac:dyDescent="0.3">
      <c r="B57">
        <v>0</v>
      </c>
      <c r="C57" t="s">
        <v>71</v>
      </c>
      <c r="D57" t="s">
        <v>8</v>
      </c>
      <c r="E57" t="s">
        <v>9</v>
      </c>
      <c r="F57" s="4">
        <v>562000</v>
      </c>
      <c r="G57" t="s">
        <v>10</v>
      </c>
      <c r="H57">
        <v>1</v>
      </c>
      <c r="K57">
        <v>0.1</v>
      </c>
    </row>
    <row r="58" spans="2:11" x14ac:dyDescent="0.3">
      <c r="B58">
        <v>0</v>
      </c>
      <c r="C58" t="s">
        <v>72</v>
      </c>
      <c r="D58" t="s">
        <v>8</v>
      </c>
      <c r="E58" t="s">
        <v>64</v>
      </c>
      <c r="F58" s="4">
        <v>14000</v>
      </c>
      <c r="G58" t="s">
        <v>10</v>
      </c>
      <c r="H58">
        <v>0.1</v>
      </c>
      <c r="K58">
        <v>0.125</v>
      </c>
    </row>
    <row r="59" spans="2:11" x14ac:dyDescent="0.3">
      <c r="B59">
        <v>0</v>
      </c>
      <c r="C59" t="s">
        <v>73</v>
      </c>
      <c r="D59" t="s">
        <v>8</v>
      </c>
      <c r="E59" t="s">
        <v>9</v>
      </c>
      <c r="F59" s="4">
        <v>5100</v>
      </c>
      <c r="G59" t="s">
        <v>10</v>
      </c>
      <c r="H59">
        <v>1</v>
      </c>
      <c r="K59">
        <v>0.1</v>
      </c>
    </row>
    <row r="60" spans="2:11" x14ac:dyDescent="0.3">
      <c r="B60">
        <v>0</v>
      </c>
      <c r="C60" t="s">
        <v>74</v>
      </c>
      <c r="D60" t="s">
        <v>8</v>
      </c>
      <c r="E60" t="s">
        <v>9</v>
      </c>
      <c r="F60" s="4">
        <v>56000</v>
      </c>
      <c r="G60" t="s">
        <v>10</v>
      </c>
      <c r="H60">
        <v>1</v>
      </c>
      <c r="K60">
        <v>0.1</v>
      </c>
    </row>
    <row r="61" spans="2:11" x14ac:dyDescent="0.3">
      <c r="B61">
        <v>0</v>
      </c>
      <c r="C61" t="s">
        <v>75</v>
      </c>
      <c r="D61" t="s">
        <v>8</v>
      </c>
      <c r="E61" t="s">
        <v>9</v>
      </c>
      <c r="F61">
        <v>22</v>
      </c>
      <c r="G61" t="s">
        <v>10</v>
      </c>
      <c r="H61">
        <v>1</v>
      </c>
      <c r="K61">
        <v>0.1</v>
      </c>
    </row>
    <row r="62" spans="2:11" x14ac:dyDescent="0.3">
      <c r="B62">
        <v>0</v>
      </c>
      <c r="C62" t="s">
        <v>76</v>
      </c>
      <c r="D62" t="s">
        <v>8</v>
      </c>
      <c r="E62" t="s">
        <v>77</v>
      </c>
      <c r="F62" s="4">
        <v>29400</v>
      </c>
      <c r="G62" t="s">
        <v>10</v>
      </c>
      <c r="H62">
        <v>1</v>
      </c>
      <c r="K62">
        <v>0.25</v>
      </c>
    </row>
    <row r="63" spans="2:11" x14ac:dyDescent="0.3">
      <c r="B63">
        <v>0</v>
      </c>
      <c r="C63" t="s">
        <v>78</v>
      </c>
      <c r="D63" t="s">
        <v>8</v>
      </c>
      <c r="E63" t="s">
        <v>77</v>
      </c>
      <c r="F63" s="4">
        <v>402000</v>
      </c>
      <c r="G63" t="s">
        <v>10</v>
      </c>
      <c r="H63">
        <v>1</v>
      </c>
      <c r="K63">
        <v>0.25</v>
      </c>
    </row>
    <row r="64" spans="2:11" x14ac:dyDescent="0.3">
      <c r="B64">
        <v>0</v>
      </c>
      <c r="C64" t="s">
        <v>79</v>
      </c>
      <c r="D64" t="s">
        <v>8</v>
      </c>
      <c r="E64" t="s">
        <v>64</v>
      </c>
      <c r="F64" s="4">
        <v>10000</v>
      </c>
      <c r="G64" t="s">
        <v>10</v>
      </c>
      <c r="H64">
        <v>0.5</v>
      </c>
      <c r="K64">
        <v>0.1</v>
      </c>
    </row>
    <row r="65" spans="2:11" x14ac:dyDescent="0.3">
      <c r="B65">
        <v>0</v>
      </c>
      <c r="C65" t="s">
        <v>80</v>
      </c>
      <c r="D65" t="s">
        <v>8</v>
      </c>
      <c r="E65" t="s">
        <v>9</v>
      </c>
      <c r="F65" s="4">
        <v>14000</v>
      </c>
      <c r="G65" t="s">
        <v>10</v>
      </c>
      <c r="H65">
        <v>1</v>
      </c>
      <c r="K65">
        <v>0.1</v>
      </c>
    </row>
    <row r="66" spans="2:11" x14ac:dyDescent="0.3">
      <c r="B66">
        <v>0</v>
      </c>
      <c r="C66" t="s">
        <v>81</v>
      </c>
      <c r="D66" t="s">
        <v>8</v>
      </c>
      <c r="E66" t="s">
        <v>82</v>
      </c>
      <c r="F66">
        <v>10.5</v>
      </c>
      <c r="G66" t="s">
        <v>10</v>
      </c>
      <c r="H66">
        <v>1</v>
      </c>
      <c r="K66">
        <v>6.25E-2</v>
      </c>
    </row>
    <row r="67" spans="2:11" x14ac:dyDescent="0.3">
      <c r="B67">
        <v>0</v>
      </c>
      <c r="C67" t="s">
        <v>83</v>
      </c>
      <c r="D67" t="s">
        <v>8</v>
      </c>
      <c r="E67" t="s">
        <v>82</v>
      </c>
      <c r="F67" s="4">
        <v>1020</v>
      </c>
      <c r="G67" t="s">
        <v>10</v>
      </c>
      <c r="H67">
        <v>1</v>
      </c>
      <c r="K67">
        <v>6.25E-2</v>
      </c>
    </row>
    <row r="68" spans="2:11" x14ac:dyDescent="0.3">
      <c r="B68">
        <v>0</v>
      </c>
      <c r="C68" t="s">
        <v>84</v>
      </c>
      <c r="D68" t="s">
        <v>8</v>
      </c>
      <c r="E68" t="s">
        <v>82</v>
      </c>
      <c r="F68" s="4">
        <v>3400</v>
      </c>
      <c r="G68">
        <v>89</v>
      </c>
      <c r="H68">
        <v>1</v>
      </c>
      <c r="K68">
        <v>0.1</v>
      </c>
    </row>
    <row r="69" spans="2:11" x14ac:dyDescent="0.3">
      <c r="B69">
        <v>0</v>
      </c>
      <c r="C69" t="s">
        <v>86</v>
      </c>
      <c r="D69" t="s">
        <v>87</v>
      </c>
      <c r="E69" t="s">
        <v>77</v>
      </c>
      <c r="I69">
        <v>0.25</v>
      </c>
      <c r="J69">
        <v>16</v>
      </c>
    </row>
    <row r="70" spans="2:11" x14ac:dyDescent="0.3">
      <c r="B70">
        <v>0</v>
      </c>
      <c r="C70" t="s">
        <v>88</v>
      </c>
      <c r="D70" t="s">
        <v>89</v>
      </c>
      <c r="E70" t="s">
        <v>64</v>
      </c>
    </row>
    <row r="71" spans="2:11" x14ac:dyDescent="0.3">
      <c r="B71">
        <v>0</v>
      </c>
      <c r="C71" t="s">
        <v>90</v>
      </c>
      <c r="D71" t="s">
        <v>91</v>
      </c>
      <c r="E71" t="s">
        <v>64</v>
      </c>
    </row>
    <row r="72" spans="2:11" x14ac:dyDescent="0.3">
      <c r="B72">
        <v>0</v>
      </c>
      <c r="C72" t="s">
        <v>92</v>
      </c>
      <c r="D72" t="s">
        <v>93</v>
      </c>
      <c r="E72" t="s">
        <v>64</v>
      </c>
    </row>
    <row r="73" spans="2:11" x14ac:dyDescent="0.3">
      <c r="B73">
        <v>0</v>
      </c>
      <c r="C73" t="s">
        <v>94</v>
      </c>
      <c r="D73" t="s">
        <v>95</v>
      </c>
      <c r="E73" t="s">
        <v>64</v>
      </c>
    </row>
    <row r="74" spans="2:11" x14ac:dyDescent="0.3">
      <c r="B74">
        <v>0</v>
      </c>
      <c r="C74" t="s">
        <v>96</v>
      </c>
      <c r="D74" t="s">
        <v>97</v>
      </c>
      <c r="E74" t="s">
        <v>64</v>
      </c>
    </row>
    <row r="75" spans="2:11" x14ac:dyDescent="0.3">
      <c r="B75">
        <v>0</v>
      </c>
      <c r="C75" t="s">
        <v>98</v>
      </c>
      <c r="D75" t="s">
        <v>99</v>
      </c>
      <c r="E75" t="s">
        <v>64</v>
      </c>
      <c r="F75">
        <v>30</v>
      </c>
      <c r="G75" t="s">
        <v>10</v>
      </c>
    </row>
    <row r="76" spans="2:11" x14ac:dyDescent="0.3">
      <c r="B76">
        <v>0</v>
      </c>
      <c r="C76" t="s">
        <v>100</v>
      </c>
      <c r="D76" t="s">
        <v>99</v>
      </c>
      <c r="E76" t="s">
        <v>64</v>
      </c>
      <c r="F76">
        <v>600</v>
      </c>
      <c r="G76" t="s">
        <v>10</v>
      </c>
    </row>
    <row r="77" spans="2:11" x14ac:dyDescent="0.3">
      <c r="B77">
        <v>0</v>
      </c>
      <c r="C77" t="s">
        <v>101</v>
      </c>
      <c r="D77" t="s">
        <v>8</v>
      </c>
      <c r="E77" t="s">
        <v>9</v>
      </c>
      <c r="F77">
        <v>0</v>
      </c>
      <c r="G77" t="s">
        <v>10</v>
      </c>
      <c r="K77">
        <v>0.1</v>
      </c>
    </row>
    <row r="78" spans="2:11" x14ac:dyDescent="0.3">
      <c r="B78">
        <v>0</v>
      </c>
      <c r="C78" t="s">
        <v>102</v>
      </c>
      <c r="D78" t="s">
        <v>103</v>
      </c>
      <c r="E78" t="s">
        <v>9</v>
      </c>
      <c r="F78" s="4">
        <v>1.5000000000000001E-12</v>
      </c>
      <c r="G78" t="s">
        <v>104</v>
      </c>
      <c r="J78">
        <v>50</v>
      </c>
    </row>
    <row r="79" spans="2:11" x14ac:dyDescent="0.3">
      <c r="B79">
        <v>0</v>
      </c>
      <c r="C79" t="s">
        <v>105</v>
      </c>
      <c r="D79" t="s">
        <v>103</v>
      </c>
      <c r="E79" t="s">
        <v>9</v>
      </c>
      <c r="F79" s="4">
        <v>2.9999999999999998E-13</v>
      </c>
      <c r="G79" t="s">
        <v>104</v>
      </c>
      <c r="J79">
        <v>250</v>
      </c>
    </row>
    <row r="80" spans="2:11" x14ac:dyDescent="0.3">
      <c r="B80">
        <v>0</v>
      </c>
      <c r="C80" t="s">
        <v>106</v>
      </c>
      <c r="D80" t="s">
        <v>103</v>
      </c>
      <c r="E80" t="s">
        <v>9</v>
      </c>
      <c r="F80" s="4">
        <v>2.4000000000000001E-11</v>
      </c>
      <c r="G80" t="s">
        <v>104</v>
      </c>
      <c r="J80">
        <v>100</v>
      </c>
    </row>
    <row r="81" spans="2:10" x14ac:dyDescent="0.3">
      <c r="B81">
        <v>0</v>
      </c>
      <c r="C81" t="s">
        <v>107</v>
      </c>
      <c r="D81" t="s">
        <v>103</v>
      </c>
      <c r="E81" t="s">
        <v>9</v>
      </c>
      <c r="F81" s="4">
        <v>1E-10</v>
      </c>
      <c r="G81" t="s">
        <v>104</v>
      </c>
      <c r="J81">
        <v>50</v>
      </c>
    </row>
    <row r="82" spans="2:10" x14ac:dyDescent="0.3">
      <c r="B82">
        <v>0</v>
      </c>
      <c r="C82" t="s">
        <v>108</v>
      </c>
      <c r="D82" t="s">
        <v>103</v>
      </c>
      <c r="E82" t="s">
        <v>9</v>
      </c>
      <c r="F82" s="4">
        <v>9.9999999999999998E-13</v>
      </c>
      <c r="G82" t="s">
        <v>104</v>
      </c>
      <c r="J82">
        <v>50</v>
      </c>
    </row>
    <row r="83" spans="2:10" x14ac:dyDescent="0.3">
      <c r="B83">
        <v>0</v>
      </c>
      <c r="C83" t="s">
        <v>109</v>
      </c>
      <c r="D83" t="s">
        <v>103</v>
      </c>
      <c r="E83" t="s">
        <v>9</v>
      </c>
      <c r="F83" s="4">
        <v>2.1999999999999998E-9</v>
      </c>
      <c r="G83" t="s">
        <v>104</v>
      </c>
      <c r="J83">
        <v>50</v>
      </c>
    </row>
    <row r="84" spans="2:10" x14ac:dyDescent="0.3">
      <c r="B84">
        <v>0</v>
      </c>
      <c r="C84" t="s">
        <v>110</v>
      </c>
      <c r="D84" t="s">
        <v>103</v>
      </c>
      <c r="E84" t="s">
        <v>9</v>
      </c>
      <c r="F84" s="4">
        <v>9.9999999999999995E-8</v>
      </c>
      <c r="G84" t="s">
        <v>104</v>
      </c>
      <c r="J84">
        <v>16</v>
      </c>
    </row>
    <row r="85" spans="2:10" x14ac:dyDescent="0.3">
      <c r="B85">
        <v>0</v>
      </c>
      <c r="C85" t="s">
        <v>111</v>
      </c>
      <c r="D85" t="s">
        <v>103</v>
      </c>
      <c r="E85" t="s">
        <v>9</v>
      </c>
      <c r="F85" s="4">
        <v>3.2999999999999998E-8</v>
      </c>
      <c r="G85" t="s">
        <v>104</v>
      </c>
      <c r="J85">
        <v>50</v>
      </c>
    </row>
    <row r="86" spans="2:10" x14ac:dyDescent="0.3">
      <c r="B86">
        <v>0</v>
      </c>
      <c r="C86" t="s">
        <v>112</v>
      </c>
      <c r="D86" t="s">
        <v>103</v>
      </c>
      <c r="E86" t="s">
        <v>64</v>
      </c>
      <c r="F86" s="4">
        <v>9.9999999999999995E-8</v>
      </c>
      <c r="G86" t="s">
        <v>104</v>
      </c>
      <c r="J86">
        <v>50</v>
      </c>
    </row>
    <row r="87" spans="2:10" x14ac:dyDescent="0.3">
      <c r="B87">
        <v>0</v>
      </c>
      <c r="C87" t="s">
        <v>115</v>
      </c>
      <c r="D87" t="s">
        <v>103</v>
      </c>
      <c r="E87" t="s">
        <v>9</v>
      </c>
      <c r="F87" s="4">
        <v>9.9999999999999995E-8</v>
      </c>
      <c r="G87" t="s">
        <v>104</v>
      </c>
      <c r="J87">
        <v>22</v>
      </c>
    </row>
    <row r="88" spans="2:10" x14ac:dyDescent="0.3">
      <c r="B88">
        <v>0</v>
      </c>
      <c r="C88" t="s">
        <v>116</v>
      </c>
      <c r="D88" t="s">
        <v>103</v>
      </c>
      <c r="E88" t="s">
        <v>9</v>
      </c>
      <c r="F88" s="4">
        <v>2.2000000000000002E-11</v>
      </c>
      <c r="G88" t="s">
        <v>104</v>
      </c>
      <c r="J88">
        <v>50</v>
      </c>
    </row>
    <row r="89" spans="2:10" x14ac:dyDescent="0.3">
      <c r="B89">
        <v>0</v>
      </c>
      <c r="C89" t="s">
        <v>117</v>
      </c>
      <c r="D89" t="s">
        <v>103</v>
      </c>
      <c r="E89" t="s">
        <v>9</v>
      </c>
      <c r="F89" s="4">
        <v>9.9999999999999995E-8</v>
      </c>
      <c r="G89" t="s">
        <v>104</v>
      </c>
      <c r="J89">
        <v>25</v>
      </c>
    </row>
    <row r="90" spans="2:10" x14ac:dyDescent="0.3">
      <c r="B90">
        <v>0</v>
      </c>
      <c r="C90" t="s">
        <v>121</v>
      </c>
      <c r="D90" t="s">
        <v>103</v>
      </c>
      <c r="E90" t="s">
        <v>9</v>
      </c>
      <c r="F90" s="4">
        <v>7.5E-11</v>
      </c>
      <c r="G90" t="s">
        <v>104</v>
      </c>
      <c r="J90">
        <v>100</v>
      </c>
    </row>
    <row r="91" spans="2:10" x14ac:dyDescent="0.3">
      <c r="B91">
        <v>0</v>
      </c>
      <c r="C91" t="s">
        <v>118</v>
      </c>
      <c r="D91" t="s">
        <v>103</v>
      </c>
      <c r="E91" t="s">
        <v>64</v>
      </c>
      <c r="F91" s="4">
        <v>8.1999999999999996E-10</v>
      </c>
      <c r="G91" t="s">
        <v>104</v>
      </c>
      <c r="J91">
        <v>100</v>
      </c>
    </row>
    <row r="92" spans="2:10" x14ac:dyDescent="0.3">
      <c r="B92">
        <v>0</v>
      </c>
      <c r="C92" t="s">
        <v>119</v>
      </c>
      <c r="D92" t="s">
        <v>103</v>
      </c>
      <c r="E92" t="s">
        <v>9</v>
      </c>
      <c r="F92" s="4">
        <v>4.6999999999999999E-9</v>
      </c>
      <c r="G92" t="s">
        <v>104</v>
      </c>
      <c r="J92">
        <v>50</v>
      </c>
    </row>
    <row r="93" spans="2:10" x14ac:dyDescent="0.3">
      <c r="B93">
        <v>0</v>
      </c>
      <c r="C93" t="s">
        <v>120</v>
      </c>
      <c r="D93" t="s">
        <v>103</v>
      </c>
      <c r="E93" t="s">
        <v>9</v>
      </c>
      <c r="F93" s="4">
        <v>1.5E-11</v>
      </c>
      <c r="G93" t="s">
        <v>104</v>
      </c>
      <c r="J93">
        <v>50</v>
      </c>
    </row>
    <row r="94" spans="2:10" x14ac:dyDescent="0.3">
      <c r="B94">
        <v>0</v>
      </c>
      <c r="C94" t="s">
        <v>122</v>
      </c>
      <c r="D94" t="s">
        <v>103</v>
      </c>
      <c r="E94" t="s">
        <v>9</v>
      </c>
      <c r="F94" s="4">
        <v>4.6999999999999999E-6</v>
      </c>
      <c r="G94" t="s">
        <v>104</v>
      </c>
      <c r="J94">
        <v>25</v>
      </c>
    </row>
    <row r="95" spans="2:10" x14ac:dyDescent="0.3">
      <c r="B95">
        <v>0</v>
      </c>
      <c r="C95" t="s">
        <v>123</v>
      </c>
      <c r="D95" t="s">
        <v>103</v>
      </c>
      <c r="E95" t="s">
        <v>9</v>
      </c>
      <c r="F95" s="4">
        <v>6.0000000000000003E-12</v>
      </c>
      <c r="G95" t="s">
        <v>104</v>
      </c>
      <c r="J95">
        <v>50</v>
      </c>
    </row>
    <row r="96" spans="2:10" x14ac:dyDescent="0.3">
      <c r="B96">
        <v>0</v>
      </c>
      <c r="C96" t="s">
        <v>124</v>
      </c>
      <c r="D96" t="s">
        <v>103</v>
      </c>
      <c r="E96" t="s">
        <v>77</v>
      </c>
      <c r="F96" s="4">
        <v>1.0000000000000001E-5</v>
      </c>
      <c r="G96" t="s">
        <v>104</v>
      </c>
      <c r="J96">
        <v>25</v>
      </c>
    </row>
    <row r="97" spans="2:10" x14ac:dyDescent="0.3">
      <c r="B97">
        <v>0</v>
      </c>
      <c r="C97" t="s">
        <v>125</v>
      </c>
      <c r="D97" t="s">
        <v>103</v>
      </c>
      <c r="E97" t="s">
        <v>9</v>
      </c>
      <c r="F97" s="4">
        <v>1.1999999999999999E-12</v>
      </c>
      <c r="G97" t="s">
        <v>104</v>
      </c>
      <c r="J97">
        <v>250</v>
      </c>
    </row>
    <row r="98" spans="2:10" x14ac:dyDescent="0.3">
      <c r="B98">
        <v>0</v>
      </c>
      <c r="C98" t="s">
        <v>113</v>
      </c>
      <c r="D98" t="s">
        <v>103</v>
      </c>
      <c r="E98" t="s">
        <v>126</v>
      </c>
      <c r="F98" s="4">
        <v>9.9999999999999995E-8</v>
      </c>
      <c r="G98" t="s">
        <v>104</v>
      </c>
      <c r="J98">
        <v>50</v>
      </c>
    </row>
    <row r="99" spans="2:10" x14ac:dyDescent="0.3">
      <c r="B99">
        <v>0</v>
      </c>
      <c r="C99" t="s">
        <v>127</v>
      </c>
      <c r="D99" t="s">
        <v>103</v>
      </c>
      <c r="E99" t="s">
        <v>126</v>
      </c>
      <c r="F99" s="4">
        <v>9.9999999999999995E-8</v>
      </c>
      <c r="G99" t="s">
        <v>104</v>
      </c>
      <c r="J99">
        <v>500</v>
      </c>
    </row>
    <row r="100" spans="2:10" x14ac:dyDescent="0.3">
      <c r="B100">
        <v>0</v>
      </c>
      <c r="C100" t="s">
        <v>128</v>
      </c>
      <c r="D100" t="s">
        <v>103</v>
      </c>
      <c r="E100" t="s">
        <v>126</v>
      </c>
      <c r="F100" s="4">
        <v>1.0000000000000001E-5</v>
      </c>
      <c r="G100" t="s">
        <v>104</v>
      </c>
      <c r="J100">
        <v>50</v>
      </c>
    </row>
    <row r="101" spans="2:10" x14ac:dyDescent="0.3">
      <c r="B101">
        <v>0</v>
      </c>
      <c r="C101" t="s">
        <v>129</v>
      </c>
      <c r="D101" t="s">
        <v>103</v>
      </c>
      <c r="E101" t="s">
        <v>126</v>
      </c>
      <c r="F101" s="4">
        <v>1E-4</v>
      </c>
      <c r="G101" t="s">
        <v>104</v>
      </c>
      <c r="J101">
        <v>6.3</v>
      </c>
    </row>
    <row r="102" spans="2:10" x14ac:dyDescent="0.3">
      <c r="B102">
        <v>0</v>
      </c>
      <c r="C102" t="s">
        <v>130</v>
      </c>
      <c r="D102" t="s">
        <v>103</v>
      </c>
      <c r="E102" t="s">
        <v>64</v>
      </c>
      <c r="F102" s="4">
        <v>3.3E-10</v>
      </c>
      <c r="G102" t="s">
        <v>104</v>
      </c>
      <c r="J102">
        <v>50</v>
      </c>
    </row>
    <row r="103" spans="2:10" x14ac:dyDescent="0.3">
      <c r="B103">
        <v>0</v>
      </c>
      <c r="C103" t="s">
        <v>131</v>
      </c>
      <c r="D103" t="s">
        <v>103</v>
      </c>
      <c r="E103" t="s">
        <v>64</v>
      </c>
      <c r="F103" s="4">
        <v>1.0000000000000001E-5</v>
      </c>
      <c r="G103" t="s">
        <v>104</v>
      </c>
      <c r="J103">
        <v>10</v>
      </c>
    </row>
    <row r="104" spans="2:10" x14ac:dyDescent="0.3">
      <c r="B104">
        <v>0</v>
      </c>
      <c r="C104" t="s">
        <v>132</v>
      </c>
      <c r="D104" t="s">
        <v>103</v>
      </c>
      <c r="E104" t="s">
        <v>64</v>
      </c>
      <c r="F104" s="4">
        <v>4.6999999999999999E-6</v>
      </c>
      <c r="G104" t="s">
        <v>104</v>
      </c>
      <c r="J104">
        <v>10</v>
      </c>
    </row>
    <row r="105" spans="2:10" x14ac:dyDescent="0.3">
      <c r="B105">
        <v>0</v>
      </c>
      <c r="C105" t="s">
        <v>133</v>
      </c>
      <c r="D105" t="s">
        <v>103</v>
      </c>
      <c r="E105" t="s">
        <v>77</v>
      </c>
      <c r="F105" s="4">
        <v>3.3000000000000002E-9</v>
      </c>
      <c r="G105" t="s">
        <v>104</v>
      </c>
      <c r="J105">
        <v>50</v>
      </c>
    </row>
    <row r="106" spans="2:10" x14ac:dyDescent="0.3">
      <c r="B106">
        <v>0</v>
      </c>
      <c r="C106" t="s">
        <v>134</v>
      </c>
      <c r="D106" t="s">
        <v>103</v>
      </c>
      <c r="E106" t="s">
        <v>77</v>
      </c>
      <c r="F106" s="4">
        <v>9.9999999999999995E-8</v>
      </c>
      <c r="G106" t="s">
        <v>104</v>
      </c>
      <c r="J106">
        <v>200</v>
      </c>
    </row>
    <row r="107" spans="2:10" x14ac:dyDescent="0.3">
      <c r="B107">
        <v>0</v>
      </c>
      <c r="C107" t="s">
        <v>135</v>
      </c>
      <c r="D107" t="s">
        <v>103</v>
      </c>
      <c r="E107" t="s">
        <v>77</v>
      </c>
      <c r="F107" s="4">
        <v>9.9999999999999995E-7</v>
      </c>
      <c r="G107" t="s">
        <v>104</v>
      </c>
      <c r="J107">
        <v>50</v>
      </c>
    </row>
    <row r="108" spans="2:10" x14ac:dyDescent="0.3">
      <c r="B108">
        <v>0</v>
      </c>
      <c r="C108" t="s">
        <v>136</v>
      </c>
      <c r="D108" t="s">
        <v>103</v>
      </c>
      <c r="E108" t="s">
        <v>77</v>
      </c>
      <c r="F108" s="4">
        <v>1.0000000000000001E-5</v>
      </c>
      <c r="G108" t="s">
        <v>104</v>
      </c>
      <c r="J108">
        <v>6.3</v>
      </c>
    </row>
    <row r="109" spans="2:10" x14ac:dyDescent="0.3">
      <c r="B109">
        <v>0</v>
      </c>
      <c r="C109" t="s">
        <v>137</v>
      </c>
      <c r="D109" t="s">
        <v>103</v>
      </c>
      <c r="E109" t="s">
        <v>77</v>
      </c>
      <c r="F109" s="4">
        <v>2.1999999999999999E-5</v>
      </c>
      <c r="G109" t="s">
        <v>104</v>
      </c>
      <c r="J109">
        <v>35</v>
      </c>
    </row>
    <row r="110" spans="2:10" x14ac:dyDescent="0.3">
      <c r="B110">
        <v>0</v>
      </c>
      <c r="C110" t="s">
        <v>114</v>
      </c>
      <c r="D110" t="s">
        <v>103</v>
      </c>
      <c r="E110" t="s">
        <v>9</v>
      </c>
      <c r="F110" s="4">
        <v>1E-8</v>
      </c>
      <c r="G110" t="s">
        <v>104</v>
      </c>
      <c r="J110">
        <v>50</v>
      </c>
    </row>
    <row r="111" spans="2:10" x14ac:dyDescent="0.3">
      <c r="B111">
        <v>0</v>
      </c>
      <c r="C111" t="s">
        <v>138</v>
      </c>
      <c r="D111" t="s">
        <v>103</v>
      </c>
      <c r="E111" t="s">
        <v>9</v>
      </c>
      <c r="F111" s="4">
        <v>2.1999999999999998E-8</v>
      </c>
      <c r="G111" t="s">
        <v>104</v>
      </c>
      <c r="J111">
        <v>100</v>
      </c>
    </row>
    <row r="112" spans="2:10" x14ac:dyDescent="0.3">
      <c r="B112">
        <v>0</v>
      </c>
      <c r="C112" t="s">
        <v>139</v>
      </c>
      <c r="D112" t="s">
        <v>103</v>
      </c>
      <c r="E112" t="s">
        <v>9</v>
      </c>
      <c r="F112" s="4">
        <v>4.6999999999999997E-8</v>
      </c>
      <c r="G112" t="s">
        <v>104</v>
      </c>
      <c r="J112">
        <v>50</v>
      </c>
    </row>
    <row r="113" spans="2:10" x14ac:dyDescent="0.3">
      <c r="B113">
        <v>0</v>
      </c>
      <c r="C113" t="s">
        <v>140</v>
      </c>
      <c r="D113" t="s">
        <v>103</v>
      </c>
      <c r="E113" t="s">
        <v>9</v>
      </c>
      <c r="F113" s="4">
        <v>1.4999999999999999E-7</v>
      </c>
      <c r="G113" t="s">
        <v>104</v>
      </c>
      <c r="J113">
        <v>16</v>
      </c>
    </row>
    <row r="114" spans="2:10" x14ac:dyDescent="0.3">
      <c r="B114">
        <v>0</v>
      </c>
      <c r="C114" t="s">
        <v>141</v>
      </c>
      <c r="D114" t="s">
        <v>103</v>
      </c>
      <c r="E114" t="s">
        <v>9</v>
      </c>
      <c r="F114" s="4">
        <v>2.2000000000000001E-7</v>
      </c>
      <c r="G114" t="s">
        <v>104</v>
      </c>
      <c r="J114">
        <v>25</v>
      </c>
    </row>
    <row r="115" spans="2:10" x14ac:dyDescent="0.3">
      <c r="B115">
        <v>0</v>
      </c>
      <c r="C115" t="s">
        <v>142</v>
      </c>
      <c r="D115" t="s">
        <v>103</v>
      </c>
      <c r="E115" t="s">
        <v>9</v>
      </c>
      <c r="F115" s="4">
        <v>3.3000000000000002E-7</v>
      </c>
      <c r="G115" t="s">
        <v>104</v>
      </c>
      <c r="J115">
        <v>25</v>
      </c>
    </row>
    <row r="116" spans="2:10" x14ac:dyDescent="0.3">
      <c r="B116">
        <v>0</v>
      </c>
      <c r="C116" t="s">
        <v>143</v>
      </c>
      <c r="D116" t="s">
        <v>103</v>
      </c>
      <c r="E116" t="s">
        <v>9</v>
      </c>
      <c r="F116" s="4">
        <v>9.9999999999999995E-7</v>
      </c>
      <c r="G116" t="s">
        <v>104</v>
      </c>
      <c r="J116">
        <v>10</v>
      </c>
    </row>
    <row r="117" spans="2:10" x14ac:dyDescent="0.3">
      <c r="B117">
        <v>0</v>
      </c>
      <c r="C117" t="s">
        <v>144</v>
      </c>
      <c r="D117" t="s">
        <v>103</v>
      </c>
      <c r="E117" t="s">
        <v>9</v>
      </c>
      <c r="F117" s="4">
        <v>2.2000000000000001E-6</v>
      </c>
      <c r="G117" t="s">
        <v>104</v>
      </c>
      <c r="J117">
        <v>10</v>
      </c>
    </row>
    <row r="118" spans="2:10" x14ac:dyDescent="0.3">
      <c r="B118">
        <v>0</v>
      </c>
      <c r="C118" t="s">
        <v>145</v>
      </c>
      <c r="D118" t="s">
        <v>103</v>
      </c>
      <c r="E118" t="s">
        <v>9</v>
      </c>
      <c r="F118" s="4">
        <v>4.6999999999999999E-6</v>
      </c>
      <c r="G118" t="s">
        <v>104</v>
      </c>
      <c r="J118">
        <v>6.3</v>
      </c>
    </row>
    <row r="119" spans="2:10" x14ac:dyDescent="0.3">
      <c r="B119">
        <v>0</v>
      </c>
      <c r="C119" t="s">
        <v>146</v>
      </c>
      <c r="D119" t="s">
        <v>103</v>
      </c>
      <c r="E119" t="s">
        <v>9</v>
      </c>
      <c r="F119" s="4">
        <v>1.0000000000000001E-5</v>
      </c>
      <c r="G119" t="s">
        <v>104</v>
      </c>
      <c r="J119">
        <v>6.3</v>
      </c>
    </row>
    <row r="120" spans="2:10" x14ac:dyDescent="0.3">
      <c r="B120">
        <v>0</v>
      </c>
      <c r="C120" t="s">
        <v>147</v>
      </c>
      <c r="D120" t="s">
        <v>103</v>
      </c>
      <c r="E120" t="s">
        <v>77</v>
      </c>
      <c r="F120" s="4">
        <v>4.6999999999999997E-5</v>
      </c>
      <c r="G120" t="s">
        <v>104</v>
      </c>
      <c r="J120">
        <v>10</v>
      </c>
    </row>
    <row r="121" spans="2:10" x14ac:dyDescent="0.3">
      <c r="B121">
        <v>0</v>
      </c>
      <c r="C121" t="s">
        <v>148</v>
      </c>
      <c r="D121" t="s">
        <v>103</v>
      </c>
      <c r="E121" t="s">
        <v>9</v>
      </c>
      <c r="F121" s="4">
        <v>9.9999999999999994E-12</v>
      </c>
      <c r="G121" t="s">
        <v>104</v>
      </c>
      <c r="J121">
        <v>1.5</v>
      </c>
    </row>
    <row r="122" spans="2:10" x14ac:dyDescent="0.3">
      <c r="B122">
        <v>0</v>
      </c>
      <c r="C122" t="s">
        <v>149</v>
      </c>
      <c r="D122" t="s">
        <v>103</v>
      </c>
      <c r="E122" t="s">
        <v>9</v>
      </c>
      <c r="F122" s="4">
        <v>9.9999999999999995E-8</v>
      </c>
      <c r="G122" t="s">
        <v>104</v>
      </c>
      <c r="J122">
        <v>50</v>
      </c>
    </row>
    <row r="123" spans="2:10" x14ac:dyDescent="0.3">
      <c r="B123">
        <v>0</v>
      </c>
      <c r="C123" t="s">
        <v>150</v>
      </c>
      <c r="D123" t="s">
        <v>103</v>
      </c>
      <c r="E123" t="s">
        <v>9</v>
      </c>
      <c r="F123" s="4">
        <v>9.9999999999999995E-8</v>
      </c>
      <c r="G123" t="s">
        <v>104</v>
      </c>
      <c r="J123">
        <v>10</v>
      </c>
    </row>
    <row r="124" spans="2:10" x14ac:dyDescent="0.3">
      <c r="B124">
        <v>0</v>
      </c>
      <c r="C124" t="s">
        <v>151</v>
      </c>
      <c r="D124" t="s">
        <v>103</v>
      </c>
      <c r="E124" t="s">
        <v>9</v>
      </c>
      <c r="F124" s="4">
        <v>4.6999999999999999E-11</v>
      </c>
      <c r="G124" t="s">
        <v>104</v>
      </c>
      <c r="J124">
        <v>50</v>
      </c>
    </row>
    <row r="125" spans="2:10" x14ac:dyDescent="0.3">
      <c r="B125">
        <v>0</v>
      </c>
      <c r="C125" t="s">
        <v>152</v>
      </c>
      <c r="D125" t="s">
        <v>103</v>
      </c>
      <c r="E125" t="s">
        <v>9</v>
      </c>
      <c r="F125" s="4">
        <v>1.0000000000000001E-9</v>
      </c>
      <c r="G125" t="s">
        <v>104</v>
      </c>
      <c r="J125">
        <v>50</v>
      </c>
    </row>
    <row r="126" spans="2:10" x14ac:dyDescent="0.3">
      <c r="B126">
        <v>0</v>
      </c>
      <c r="C126" t="s">
        <v>153</v>
      </c>
      <c r="D126" t="s">
        <v>103</v>
      </c>
      <c r="E126" t="s">
        <v>9</v>
      </c>
      <c r="F126" s="4">
        <v>1E-8</v>
      </c>
      <c r="G126" t="s">
        <v>104</v>
      </c>
      <c r="J126">
        <v>50</v>
      </c>
    </row>
    <row r="127" spans="2:10" x14ac:dyDescent="0.3">
      <c r="B127">
        <v>0</v>
      </c>
      <c r="C127" t="s">
        <v>154</v>
      </c>
      <c r="D127" t="s">
        <v>103</v>
      </c>
      <c r="E127" t="s">
        <v>155</v>
      </c>
      <c r="F127" s="4">
        <v>2.1999999999999998E-8</v>
      </c>
      <c r="G127" t="s">
        <v>104</v>
      </c>
      <c r="J127">
        <v>10</v>
      </c>
    </row>
    <row r="128" spans="2:10" x14ac:dyDescent="0.3">
      <c r="B128">
        <v>0</v>
      </c>
      <c r="C128" t="s">
        <v>156</v>
      </c>
      <c r="D128" t="s">
        <v>103</v>
      </c>
      <c r="E128" t="s">
        <v>9</v>
      </c>
      <c r="F128" s="4">
        <v>4.7E-7</v>
      </c>
      <c r="G128" t="s">
        <v>104</v>
      </c>
      <c r="J128">
        <v>16</v>
      </c>
    </row>
    <row r="129" spans="2:12" x14ac:dyDescent="0.3">
      <c r="B129">
        <v>0</v>
      </c>
      <c r="C129" t="s">
        <v>157</v>
      </c>
      <c r="D129" t="s">
        <v>103</v>
      </c>
      <c r="E129" t="s">
        <v>64</v>
      </c>
      <c r="F129" s="4">
        <v>3.3000000000000002E-9</v>
      </c>
      <c r="G129" t="s">
        <v>104</v>
      </c>
      <c r="J129">
        <v>50</v>
      </c>
    </row>
    <row r="130" spans="2:12" x14ac:dyDescent="0.3">
      <c r="B130">
        <v>0</v>
      </c>
      <c r="C130" t="s">
        <v>158</v>
      </c>
      <c r="D130" t="s">
        <v>103</v>
      </c>
      <c r="E130" t="s">
        <v>64</v>
      </c>
      <c r="F130" s="4">
        <v>2.1999999999999998E-9</v>
      </c>
      <c r="G130" t="s">
        <v>104</v>
      </c>
      <c r="J130">
        <v>50</v>
      </c>
    </row>
    <row r="131" spans="2:12" x14ac:dyDescent="0.3">
      <c r="B131">
        <v>0</v>
      </c>
      <c r="C131" t="s">
        <v>159</v>
      </c>
      <c r="D131" t="s">
        <v>103</v>
      </c>
      <c r="E131" t="s">
        <v>64</v>
      </c>
      <c r="F131" s="4">
        <v>2.1999999999999998E-9</v>
      </c>
      <c r="G131" t="s">
        <v>104</v>
      </c>
      <c r="J131">
        <v>50</v>
      </c>
    </row>
    <row r="132" spans="2:12" x14ac:dyDescent="0.3">
      <c r="B132">
        <v>0</v>
      </c>
      <c r="C132" t="s">
        <v>160</v>
      </c>
      <c r="D132" t="s">
        <v>103</v>
      </c>
      <c r="E132" t="s">
        <v>64</v>
      </c>
      <c r="F132" s="4">
        <v>2.1999999999999998E-9</v>
      </c>
      <c r="G132" t="s">
        <v>104</v>
      </c>
      <c r="J132">
        <v>50</v>
      </c>
    </row>
    <row r="133" spans="2:12" x14ac:dyDescent="0.3">
      <c r="B133">
        <v>0</v>
      </c>
      <c r="C133" t="s">
        <v>161</v>
      </c>
      <c r="D133" t="s">
        <v>103</v>
      </c>
      <c r="E133" t="s">
        <v>64</v>
      </c>
      <c r="F133" s="4">
        <v>2.1999999999999998E-9</v>
      </c>
      <c r="G133" t="s">
        <v>104</v>
      </c>
      <c r="J133">
        <v>50</v>
      </c>
    </row>
    <row r="134" spans="2:12" x14ac:dyDescent="0.3">
      <c r="B134">
        <v>1</v>
      </c>
      <c r="C134" t="s">
        <v>48</v>
      </c>
      <c r="D134" t="s">
        <v>87</v>
      </c>
      <c r="E134" t="s">
        <v>162</v>
      </c>
      <c r="I134">
        <v>0.5</v>
      </c>
      <c r="J134">
        <v>15</v>
      </c>
    </row>
    <row r="135" spans="2:12" x14ac:dyDescent="0.3">
      <c r="B135">
        <v>1</v>
      </c>
      <c r="C135" t="s">
        <v>63</v>
      </c>
      <c r="D135" t="s">
        <v>164</v>
      </c>
      <c r="E135" t="s">
        <v>126</v>
      </c>
      <c r="F135" s="4">
        <v>1E-4</v>
      </c>
      <c r="G135" t="s">
        <v>163</v>
      </c>
    </row>
    <row r="136" spans="2:12" x14ac:dyDescent="0.3">
      <c r="B136">
        <v>1</v>
      </c>
      <c r="C136" t="s">
        <v>65</v>
      </c>
      <c r="D136" t="s">
        <v>164</v>
      </c>
      <c r="E136" t="s">
        <v>9</v>
      </c>
      <c r="F136" s="4">
        <v>1.0000000000000001E-5</v>
      </c>
      <c r="G136" t="s">
        <v>163</v>
      </c>
      <c r="I136">
        <v>0.3</v>
      </c>
      <c r="L136">
        <v>0.6</v>
      </c>
    </row>
    <row r="137" spans="2:12" x14ac:dyDescent="0.3">
      <c r="B137">
        <v>1</v>
      </c>
      <c r="C137" t="s">
        <v>66</v>
      </c>
      <c r="D137" t="s">
        <v>164</v>
      </c>
      <c r="E137" t="s">
        <v>9</v>
      </c>
      <c r="F137" s="4">
        <v>2.7000000000000002E-9</v>
      </c>
      <c r="G137" t="s">
        <v>163</v>
      </c>
      <c r="I137">
        <v>1</v>
      </c>
    </row>
    <row r="138" spans="2:12" x14ac:dyDescent="0.3">
      <c r="B138">
        <v>1</v>
      </c>
      <c r="C138" t="s">
        <v>67</v>
      </c>
      <c r="D138" t="s">
        <v>164</v>
      </c>
      <c r="E138" t="s">
        <v>9</v>
      </c>
      <c r="F138" s="4">
        <v>2.0000000000000001E-9</v>
      </c>
      <c r="G138" t="s">
        <v>163</v>
      </c>
      <c r="I138">
        <v>5</v>
      </c>
      <c r="L138">
        <v>0.7</v>
      </c>
    </row>
    <row r="139" spans="2:12" x14ac:dyDescent="0.3">
      <c r="B139">
        <v>1</v>
      </c>
      <c r="C139" t="s">
        <v>68</v>
      </c>
      <c r="D139" t="s">
        <v>164</v>
      </c>
      <c r="E139" t="s">
        <v>9</v>
      </c>
      <c r="F139" s="4">
        <v>3.9000000000000002E-9</v>
      </c>
      <c r="G139" t="s">
        <v>163</v>
      </c>
      <c r="I139">
        <v>0.9</v>
      </c>
      <c r="L139">
        <v>0.15</v>
      </c>
    </row>
    <row r="140" spans="2:12" x14ac:dyDescent="0.3">
      <c r="B140">
        <v>1</v>
      </c>
      <c r="C140" t="s">
        <v>69</v>
      </c>
      <c r="D140" t="s">
        <v>164</v>
      </c>
      <c r="E140" t="s">
        <v>9</v>
      </c>
      <c r="F140" s="4">
        <v>3.3000000000000003E-5</v>
      </c>
      <c r="G140" t="s">
        <v>163</v>
      </c>
      <c r="I140">
        <v>0.19</v>
      </c>
      <c r="L140">
        <v>2.6</v>
      </c>
    </row>
    <row r="141" spans="2:12" x14ac:dyDescent="0.3">
      <c r="B141">
        <v>1</v>
      </c>
      <c r="C141" t="s">
        <v>70</v>
      </c>
      <c r="D141" t="s">
        <v>164</v>
      </c>
      <c r="E141" t="s">
        <v>9</v>
      </c>
      <c r="F141" s="4">
        <v>8.2000000000000006E-9</v>
      </c>
      <c r="G141" t="s">
        <v>163</v>
      </c>
      <c r="I141">
        <v>0.8</v>
      </c>
      <c r="L141">
        <v>0.25</v>
      </c>
    </row>
    <row r="142" spans="2:12" x14ac:dyDescent="0.3">
      <c r="B142">
        <v>1</v>
      </c>
      <c r="C142" t="s">
        <v>76</v>
      </c>
      <c r="D142" t="s">
        <v>166</v>
      </c>
      <c r="E142" t="s">
        <v>167</v>
      </c>
      <c r="I142">
        <v>2</v>
      </c>
      <c r="J142">
        <v>100</v>
      </c>
      <c r="K142">
        <v>123</v>
      </c>
    </row>
    <row r="143" spans="2:12" x14ac:dyDescent="0.3">
      <c r="B143">
        <v>1</v>
      </c>
      <c r="C143" t="s">
        <v>78</v>
      </c>
      <c r="D143" t="s">
        <v>169</v>
      </c>
      <c r="E143" t="s">
        <v>168</v>
      </c>
      <c r="I143">
        <v>1</v>
      </c>
      <c r="J143" s="4">
        <v>1000</v>
      </c>
    </row>
    <row r="144" spans="2:12" x14ac:dyDescent="0.3">
      <c r="B144">
        <v>1</v>
      </c>
      <c r="C144" t="s">
        <v>170</v>
      </c>
      <c r="D144" t="s">
        <v>171</v>
      </c>
      <c r="E144" t="s">
        <v>168</v>
      </c>
      <c r="I144">
        <v>2</v>
      </c>
      <c r="J144">
        <v>40</v>
      </c>
    </row>
    <row r="145" spans="2:13" x14ac:dyDescent="0.3">
      <c r="B145">
        <v>1</v>
      </c>
      <c r="C145" t="s">
        <v>80</v>
      </c>
      <c r="D145" t="s">
        <v>172</v>
      </c>
      <c r="E145" t="s">
        <v>9</v>
      </c>
      <c r="J145">
        <v>50</v>
      </c>
      <c r="M145">
        <v>24</v>
      </c>
    </row>
    <row r="146" spans="2:13" x14ac:dyDescent="0.3">
      <c r="B146">
        <v>1</v>
      </c>
      <c r="C146" t="s">
        <v>86</v>
      </c>
      <c r="D146" t="s">
        <v>8</v>
      </c>
      <c r="E146" t="s">
        <v>64</v>
      </c>
      <c r="F146" s="4">
        <v>10000</v>
      </c>
      <c r="G146" t="s">
        <v>10</v>
      </c>
    </row>
    <row r="147" spans="2:13" x14ac:dyDescent="0.3">
      <c r="B147">
        <v>1</v>
      </c>
      <c r="C147" t="s">
        <v>88</v>
      </c>
      <c r="D147" t="s">
        <v>8</v>
      </c>
      <c r="E147" t="s">
        <v>64</v>
      </c>
      <c r="F147" s="4">
        <v>2000</v>
      </c>
      <c r="G147" t="s">
        <v>10</v>
      </c>
    </row>
    <row r="148" spans="2:13" x14ac:dyDescent="0.3">
      <c r="B148">
        <v>1</v>
      </c>
      <c r="C148" t="s">
        <v>90</v>
      </c>
      <c r="D148" t="s">
        <v>8</v>
      </c>
      <c r="E148" t="s">
        <v>64</v>
      </c>
      <c r="F148" s="4">
        <v>100000</v>
      </c>
      <c r="G148" t="s">
        <v>10</v>
      </c>
    </row>
    <row r="149" spans="2:13" x14ac:dyDescent="0.3">
      <c r="B149">
        <v>1</v>
      </c>
      <c r="C149" t="s">
        <v>92</v>
      </c>
      <c r="D149" t="s">
        <v>8</v>
      </c>
      <c r="E149" t="s">
        <v>64</v>
      </c>
      <c r="F149">
        <v>220</v>
      </c>
      <c r="G149" t="s">
        <v>10</v>
      </c>
    </row>
    <row r="150" spans="2:13" x14ac:dyDescent="0.3">
      <c r="B150">
        <v>1</v>
      </c>
      <c r="C150" t="s">
        <v>94</v>
      </c>
      <c r="D150" t="s">
        <v>8</v>
      </c>
      <c r="E150" t="s">
        <v>64</v>
      </c>
      <c r="F150" s="4">
        <v>9530</v>
      </c>
      <c r="G150" t="s">
        <v>10</v>
      </c>
    </row>
    <row r="151" spans="2:13" x14ac:dyDescent="0.3">
      <c r="B151">
        <v>1</v>
      </c>
      <c r="C151" t="s">
        <v>174</v>
      </c>
      <c r="D151" t="s">
        <v>8</v>
      </c>
      <c r="E151" t="s">
        <v>64</v>
      </c>
      <c r="F151">
        <v>27</v>
      </c>
      <c r="G151" t="s">
        <v>10</v>
      </c>
    </row>
    <row r="152" spans="2:13" x14ac:dyDescent="0.3">
      <c r="B152">
        <v>1</v>
      </c>
      <c r="C152" t="s">
        <v>98</v>
      </c>
      <c r="D152" t="s">
        <v>8</v>
      </c>
      <c r="E152" t="s">
        <v>64</v>
      </c>
      <c r="F152" s="4">
        <v>1000</v>
      </c>
      <c r="G152" t="s">
        <v>10</v>
      </c>
    </row>
    <row r="153" spans="2:13" x14ac:dyDescent="0.3">
      <c r="B153">
        <v>1</v>
      </c>
      <c r="C153" t="s">
        <v>100</v>
      </c>
      <c r="D153" t="s">
        <v>8</v>
      </c>
      <c r="E153" t="s">
        <v>64</v>
      </c>
      <c r="F153">
        <v>33</v>
      </c>
      <c r="G153" t="s">
        <v>10</v>
      </c>
    </row>
    <row r="154" spans="2:13" x14ac:dyDescent="0.3">
      <c r="B154">
        <v>1</v>
      </c>
      <c r="C154" t="s">
        <v>113</v>
      </c>
      <c r="D154" t="s">
        <v>103</v>
      </c>
      <c r="F154" s="4">
        <v>1E-4</v>
      </c>
      <c r="G154" t="s">
        <v>104</v>
      </c>
      <c r="J154">
        <v>6.3</v>
      </c>
    </row>
    <row r="155" spans="2:13" x14ac:dyDescent="0.3">
      <c r="B155">
        <v>1</v>
      </c>
      <c r="C155" t="s">
        <v>149</v>
      </c>
      <c r="D155" t="s">
        <v>175</v>
      </c>
      <c r="E155" t="s">
        <v>9</v>
      </c>
      <c r="F155" s="4"/>
    </row>
    <row r="156" spans="2:13" x14ac:dyDescent="0.3">
      <c r="B156">
        <v>1</v>
      </c>
      <c r="C156" t="s">
        <v>150</v>
      </c>
      <c r="D156" t="s">
        <v>103</v>
      </c>
      <c r="E156" t="s">
        <v>64</v>
      </c>
      <c r="F156" s="4">
        <v>4.6999999999999999E-6</v>
      </c>
      <c r="G156" t="s">
        <v>104</v>
      </c>
    </row>
    <row r="157" spans="2:13" x14ac:dyDescent="0.3">
      <c r="B157">
        <v>1</v>
      </c>
      <c r="C157" t="s">
        <v>151</v>
      </c>
      <c r="D157" t="s">
        <v>103</v>
      </c>
      <c r="E157" t="s">
        <v>64</v>
      </c>
      <c r="F157" s="4">
        <v>9.9999999999999995E-8</v>
      </c>
      <c r="G157" t="s">
        <v>104</v>
      </c>
    </row>
    <row r="158" spans="2:13" x14ac:dyDescent="0.3">
      <c r="B158">
        <v>1</v>
      </c>
      <c r="C158" t="s">
        <v>152</v>
      </c>
      <c r="D158" t="s">
        <v>103</v>
      </c>
      <c r="E158" t="s">
        <v>64</v>
      </c>
      <c r="F158" s="4">
        <v>4.6999999999999997E-5</v>
      </c>
      <c r="G158" t="s">
        <v>104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AD04-1273-4C17-806B-6D6B735ABBFE}">
  <dimension ref="B1:R10"/>
  <sheetViews>
    <sheetView tabSelected="1" zoomScaleNormal="100" workbookViewId="0">
      <selection activeCell="C8" sqref="C8"/>
    </sheetView>
  </sheetViews>
  <sheetFormatPr defaultRowHeight="14.4" x14ac:dyDescent="0.3"/>
  <cols>
    <col min="1" max="1" width="3.77734375" customWidth="1"/>
    <col min="2" max="2" width="11.6640625" customWidth="1"/>
    <col min="3" max="3" width="11.77734375" customWidth="1"/>
    <col min="4" max="4" width="37" customWidth="1"/>
    <col min="13" max="13" width="12.5546875" customWidth="1"/>
    <col min="14" max="14" width="15.5546875" customWidth="1"/>
    <col min="15" max="15" width="16" customWidth="1"/>
    <col min="16" max="16" width="15.33203125" customWidth="1"/>
  </cols>
  <sheetData>
    <row r="1" spans="2:18" x14ac:dyDescent="0.3">
      <c r="B1" s="10" t="s">
        <v>191</v>
      </c>
      <c r="C1" s="10"/>
      <c r="D1" s="10"/>
      <c r="E1" s="7"/>
      <c r="F1" s="7"/>
      <c r="G1" s="10" t="s">
        <v>192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2:18" x14ac:dyDescent="0.3">
      <c r="B2" s="10"/>
      <c r="C2" s="10"/>
      <c r="D2" s="10"/>
      <c r="E2" s="7"/>
      <c r="F2" s="7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2:18" x14ac:dyDescent="0.3">
      <c r="B3" s="1"/>
      <c r="G3" s="1"/>
    </row>
    <row r="4" spans="2:18" x14ac:dyDescent="0.3">
      <c r="B4" s="1" t="s">
        <v>185</v>
      </c>
      <c r="C4" s="1" t="s">
        <v>186</v>
      </c>
      <c r="D4" s="1" t="s">
        <v>187</v>
      </c>
      <c r="G4" s="5" t="s">
        <v>7</v>
      </c>
      <c r="H4" s="6" t="s">
        <v>12</v>
      </c>
      <c r="I4" s="6" t="s">
        <v>0</v>
      </c>
      <c r="J4" s="6" t="s">
        <v>1</v>
      </c>
      <c r="K4" s="6" t="s">
        <v>2</v>
      </c>
      <c r="L4" s="6" t="s">
        <v>6</v>
      </c>
      <c r="M4" s="6" t="s">
        <v>5</v>
      </c>
      <c r="N4" s="6" t="s">
        <v>85</v>
      </c>
      <c r="O4" s="6" t="s">
        <v>3</v>
      </c>
      <c r="P4" s="6" t="s">
        <v>4</v>
      </c>
      <c r="Q4" s="6" t="s">
        <v>165</v>
      </c>
      <c r="R4" s="2" t="s">
        <v>173</v>
      </c>
    </row>
    <row r="5" spans="2:18" x14ac:dyDescent="0.3">
      <c r="B5" s="1" t="s">
        <v>0</v>
      </c>
      <c r="C5" s="8" t="s">
        <v>8</v>
      </c>
      <c r="D5" t="s">
        <v>188</v>
      </c>
      <c r="G5" cm="1">
        <f t="array" ref="G5:R8">_xlfn._xlws.FILTER(Table1[], (Table1[Component] = C5) * (Table1[Package] = C6) * (Table1[Value] = C7), "No Results Found")</f>
        <v>0</v>
      </c>
      <c r="H5" t="str">
        <v>[1,9]</v>
      </c>
      <c r="I5" t="str">
        <v>Resistor</v>
      </c>
      <c r="J5" t="str">
        <v>[0603]</v>
      </c>
      <c r="K5">
        <v>10000</v>
      </c>
      <c r="L5" t="str">
        <v>Ω</v>
      </c>
      <c r="M5">
        <v>5</v>
      </c>
      <c r="N5">
        <v>0</v>
      </c>
      <c r="O5">
        <v>0</v>
      </c>
      <c r="P5">
        <v>0.1</v>
      </c>
      <c r="Q5">
        <v>0</v>
      </c>
      <c r="R5">
        <v>0</v>
      </c>
    </row>
    <row r="6" spans="2:18" x14ac:dyDescent="0.3">
      <c r="B6" s="1" t="s">
        <v>1</v>
      </c>
      <c r="C6" s="8" t="s">
        <v>9</v>
      </c>
      <c r="D6" t="s">
        <v>189</v>
      </c>
      <c r="G6">
        <v>0</v>
      </c>
      <c r="H6" t="str">
        <v>[2,9]</v>
      </c>
      <c r="I6" t="str">
        <v>Resistor</v>
      </c>
      <c r="J6" t="str">
        <v>[0603]</v>
      </c>
      <c r="K6">
        <v>10000</v>
      </c>
      <c r="L6" t="str">
        <v>Ω</v>
      </c>
      <c r="M6">
        <v>1</v>
      </c>
      <c r="N6">
        <v>0</v>
      </c>
      <c r="O6">
        <v>0</v>
      </c>
      <c r="P6">
        <v>0.1</v>
      </c>
      <c r="Q6">
        <v>0</v>
      </c>
      <c r="R6">
        <v>0</v>
      </c>
    </row>
    <row r="7" spans="2:18" x14ac:dyDescent="0.3">
      <c r="B7" s="1" t="s">
        <v>2</v>
      </c>
      <c r="C7" s="9">
        <v>10000</v>
      </c>
      <c r="D7" t="s">
        <v>190</v>
      </c>
      <c r="G7">
        <v>0</v>
      </c>
      <c r="H7" t="str">
        <v>[3,8]</v>
      </c>
      <c r="I7" t="str">
        <v>Resistor</v>
      </c>
      <c r="J7" t="str">
        <v>[0603]</v>
      </c>
      <c r="K7">
        <v>10000</v>
      </c>
      <c r="L7" t="str">
        <v>Ω</v>
      </c>
      <c r="M7">
        <v>1</v>
      </c>
      <c r="N7">
        <v>0</v>
      </c>
      <c r="O7">
        <v>0</v>
      </c>
      <c r="P7">
        <v>0.1</v>
      </c>
      <c r="Q7">
        <v>0</v>
      </c>
      <c r="R7">
        <v>0</v>
      </c>
    </row>
    <row r="8" spans="2:18" x14ac:dyDescent="0.3">
      <c r="G8">
        <v>0</v>
      </c>
      <c r="H8" t="str">
        <v>[3,9]</v>
      </c>
      <c r="I8" t="str">
        <v>Resistor</v>
      </c>
      <c r="J8" t="str">
        <v>[0603]</v>
      </c>
      <c r="K8">
        <v>10000</v>
      </c>
      <c r="L8" t="str">
        <v>Ω</v>
      </c>
      <c r="M8">
        <v>1</v>
      </c>
      <c r="N8">
        <v>0</v>
      </c>
      <c r="O8">
        <v>0</v>
      </c>
      <c r="P8">
        <v>0.1</v>
      </c>
      <c r="Q8">
        <v>0</v>
      </c>
      <c r="R8">
        <v>0</v>
      </c>
    </row>
    <row r="9" spans="2:18" x14ac:dyDescent="0.3">
      <c r="B9" t="s">
        <v>193</v>
      </c>
    </row>
    <row r="10" spans="2:18" x14ac:dyDescent="0.3">
      <c r="B10" s="11" t="s">
        <v>194</v>
      </c>
      <c r="C10" s="11"/>
      <c r="D10" s="11"/>
    </row>
  </sheetData>
  <mergeCells count="3">
    <mergeCell ref="B1:D2"/>
    <mergeCell ref="G1:R2"/>
    <mergeCell ref="B10:D10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B1E2-C50B-4AF9-AD4F-BEEF06FA0E83}">
  <dimension ref="A1:I18"/>
  <sheetViews>
    <sheetView workbookViewId="0">
      <selection activeCell="A14" sqref="A14"/>
    </sheetView>
  </sheetViews>
  <sheetFormatPr defaultRowHeight="14.4" x14ac:dyDescent="0.3"/>
  <sheetData>
    <row r="1" spans="1:9" x14ac:dyDescent="0.3">
      <c r="A1" s="12" t="s">
        <v>176</v>
      </c>
      <c r="B1" s="12"/>
      <c r="C1" s="12"/>
      <c r="D1" s="12"/>
      <c r="E1" s="12"/>
      <c r="F1" s="12"/>
      <c r="G1" s="12"/>
      <c r="H1" s="12"/>
      <c r="I1" s="12"/>
    </row>
    <row r="2" spans="1:9" x14ac:dyDescent="0.3">
      <c r="A2" s="12"/>
      <c r="B2" s="12"/>
      <c r="C2" s="12"/>
      <c r="D2" s="12"/>
      <c r="E2" s="12"/>
      <c r="F2" s="12"/>
      <c r="G2" s="12"/>
      <c r="H2" s="12"/>
      <c r="I2" s="12"/>
    </row>
    <row r="3" spans="1:9" x14ac:dyDescent="0.3">
      <c r="A3" s="1" t="s">
        <v>177</v>
      </c>
    </row>
    <row r="4" spans="1:9" x14ac:dyDescent="0.3">
      <c r="A4" t="s">
        <v>178</v>
      </c>
    </row>
    <row r="5" spans="1:9" x14ac:dyDescent="0.3">
      <c r="A5" t="s">
        <v>179</v>
      </c>
    </row>
    <row r="7" spans="1:9" x14ac:dyDescent="0.3">
      <c r="A7" t="s">
        <v>180</v>
      </c>
    </row>
    <row r="8" spans="1:9" x14ac:dyDescent="0.3">
      <c r="A8" t="s">
        <v>181</v>
      </c>
    </row>
    <row r="16" spans="1:9" x14ac:dyDescent="0.3">
      <c r="A16" s="1" t="s">
        <v>182</v>
      </c>
    </row>
    <row r="17" spans="1:1" x14ac:dyDescent="0.3">
      <c r="A17" s="1" t="s">
        <v>184</v>
      </c>
    </row>
    <row r="18" spans="1:1" x14ac:dyDescent="0.3">
      <c r="A18" s="1" t="s">
        <v>183</v>
      </c>
    </row>
  </sheetData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Passives Database</vt:lpstr>
      <vt:lpstr>Component Lookup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 Shepler</dc:creator>
  <cp:lastModifiedBy>Aiden Shepler</cp:lastModifiedBy>
  <dcterms:created xsi:type="dcterms:W3CDTF">2026-02-07T16:33:17Z</dcterms:created>
  <dcterms:modified xsi:type="dcterms:W3CDTF">2026-02-09T18:22:59Z</dcterms:modified>
</cp:coreProperties>
</file>